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s_2026" sheetId="1" r:id="rId5"/>
    <sheet state="visible" name="survey_paper_2026" sheetId="2" r:id="rId6"/>
    <sheet state="visible" name="raw_2026" sheetId="3" r:id="rId7"/>
    <sheet state="visible" name="Survey" sheetId="4" r:id="rId8"/>
    <sheet state="visible" name="PRISMA_Survey" sheetId="5" r:id="rId9"/>
    <sheet state="visible" name="papers" sheetId="6" r:id="rId10"/>
    <sheet state="visible" name="PRISMA" sheetId="7" r:id="rId11"/>
    <sheet state="visible" name="Summary" sheetId="8" r:id="rId12"/>
    <sheet state="visible" name="Stats" sheetId="9" r:id="rId13"/>
    <sheet state="visible" name="Summary with category" sheetId="10" r:id="rId14"/>
    <sheet state="visible" name="stats small" sheetId="11" r:id="rId15"/>
    <sheet state="visible" name="datasets" sheetId="12" r:id="rId16"/>
    <sheet state="visible" name="Lightweight Arch." sheetId="13" r:id="rId17"/>
    <sheet state="visible" name="2026Stats." sheetId="14" r:id="rId18"/>
    <sheet state="visible" name="Sheet19" sheetId="15" r:id="rId19"/>
    <sheet state="visible" name="2026Summary" sheetId="16" r:id="rId20"/>
    <sheet state="visible" name="DatasetSource" sheetId="17" r:id="rId21"/>
  </sheets>
  <definedNames>
    <definedName hidden="1" localSheetId="3" name="_xlnm._FilterDatabase">Survey!$A$1:$A$1000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tc={0117bbff-d3fe-4c28-bd9f-9a9323549bc5}</author>
    <author>tc={07e2e214-aabb-40da-8795-c29ff0a65bd1}</author>
    <author>tc={1833d788-c1d6-4db5-96e7-8fa377f1d60d}</author>
    <author>tc={22b8802d-b806-4dac-bb4d-56939d8ee53a}</author>
    <author>tc={2c919692-cfb2-4b4f-83e8-d1544bc9f01c}</author>
    <author>tc={319ac6de-008f-44b1-a9c0-09d145ddfaad}</author>
    <author>tc={4f8d3e48-cb20-4891-aa37-f015527aa480}</author>
    <author>tc={510107d9-f9a7-40ee-890d-dd2655f58ac7}</author>
    <author>tc={609c4967-752e-47a1-ac6b-7bd0487ce65b}</author>
    <author>tc={68ef3f12-f443-4a7c-9161-f3c650cef2d2}</author>
    <author>tc={76fcbda5-17ba-45f7-947e-fd4ea1a9d4ef}</author>
    <author>tc={7e8be12d-0f78-4ff1-a523-8e1968631a66}</author>
    <author>tc={836624c1-5a4f-4822-b387-503853e082fb}</author>
    <author>tc={83f62337-a4a1-4363-a8b4-da7a7e1fc1dd}</author>
    <author>tc={96889a4c-3b5b-4e9c-bf6c-89a76211e203}</author>
    <author>tc={9a9fce5d-e430-4895-a1d2-b90bd34872e6}</author>
    <author>tc={a9c7f4f1-4781-4cf6-874b-f2da8098c335}</author>
    <author>tc={b3b202b2-165d-4bb9-8a95-f07b9b4d36ed}</author>
    <author>tc={b88f626a-711d-4ac8-9f32-50d88309e8bb}</author>
    <author>tc={c293e456-8f3f-414e-98d8-a72e21ccbd63}</author>
    <author>tc={cf3f578f-e640-4246-9387-fb60827088e3}</author>
    <author>tc={d5d0590e-af57-44c2-aa06-bd0b4912ec12}</author>
    <author>tc={dd633570-a770-438b-8023-9d3a2d772901}</author>
    <author>tc={e0a5667d-63d1-4fe3-a931-808d2b8831c6}</author>
    <author>tc={e47bde68-1e16-40dc-ba6b-433649ed58c9}</author>
    <author>tc={f036f2df-1014-4934-8eb2-cfe8160b7f61}</author>
    <author>tc={f42f743c-d34c-4f34-859a-cb8f123303a8}</author>
    <author>tc={fef9a4f8-2035-4c2a-bc5e-e5321bd9e21f}</author>
    <author>tc={ff4c76e2-7c11-41aa-9838-0c14753ca221}</author>
  </authors>
  <commentList>
    <comment authorId="0" xr:uid="{0117bbff-d3fe-4c28-bd9f-9a9323549bc5}" ref="F70">
      <text>
        <t xml:space="preserve">[Threaded comment]
 Your version of Excel allows you to read this threaded comment; however, any edits to it will get removed if the file is opened in a newer version of Excel. Learn more: https://go.microsoft.com/fwlink/?linkid=870924
Comment:
	Paper is on skin cancer.
</t>
      </text>
    </comment>
    <comment authorId="1" xr:uid="{07e2e214-aabb-40da-8795-c29ff0a65bd1}" ref="F76">
      <text>
        <t xml:space="preserve">[Threaded comment]
 Your version of Excel allows you to read this threaded comment; however, any edits to it will get removed if the file is opened in a newer version of Excel. Learn more: https://go.microsoft.com/fwlink/?linkid=870924
Comment:
	Antenna not ML
</t>
      </text>
    </comment>
    <comment authorId="2" xr:uid="{1833d788-c1d6-4db5-96e7-8fa377f1d60d}" ref="F30">
      <text>
        <t xml:space="preserve">[Threaded comment]
 Your version of Excel allows you to read this threaded comment; however, any edits to it will get removed if the file is opened in a newer version of Excel. Learn more: https://go.microsoft.com/fwlink/?linkid=870924
Comment:
	Sensors not ML BCD
</t>
      </text>
    </comment>
    <comment authorId="3" xr:uid="{22b8802d-b806-4dac-bb4d-56939d8ee53a}" ref="F50">
      <text>
        <t xml:space="preserve">[Threaded comment]
 Your version of Excel allows you to read this threaded comment; however, any edits to it will get removed if the file is opened in a newer version of Excel. Learn more: https://go.microsoft.com/fwlink/?linkid=870924
Comment:
	It is the sensor that is lightweight not ML
</t>
      </text>
    </comment>
    <comment authorId="4" xr:uid="{2c919692-cfb2-4b4f-83e8-d1544bc9f01c}" ref="F99">
      <text>
        <t xml:space="preserve">[Threaded comment]
 Your version of Excel allows you to read this threaded comment; however, any edits to it will get removed if the file is opened in a newer version of Excel. Learn more: https://go.microsoft.com/fwlink/?linkid=870924
Comment:
	Paper presents a sensor, not an ML model.
</t>
      </text>
    </comment>
    <comment authorId="5" xr:uid="{319ac6de-008f-44b1-a9c0-09d145ddfaad}" ref="F48">
      <text>
        <t xml:space="preserve">[Threaded comment]
 Your version of Excel allows you to read this threaded comment; however, any edits to it will get removed if the file is opened in a newer version of Excel. Learn more: https://go.microsoft.com/fwlink/?linkid=870924
Comment:
	Skin Cancer not BC
</t>
      </text>
    </comment>
    <comment authorId="6" xr:uid="{4f8d3e48-cb20-4891-aa37-f015527aa480}" ref="F80">
      <text>
        <t xml:space="preserve">[Threaded comment]
 Your version of Excel allows you to read this threaded comment; however, any edits to it will get removed if the file is opened in a newer version of Excel. Learn more: https://go.microsoft.com/fwlink/?linkid=870924
Comment:
	The authors argue that their model is driven by "facilitated by advancements in GPU memory, computation power, and the availability of digital data".
</t>
      </text>
    </comment>
    <comment authorId="7" xr:uid="{510107d9-f9a7-40ee-890d-dd2655f58ac7}" ref="F117">
      <text>
        <t xml:space="preserve">[Threaded comment]
 Your version of Excel allows you to read this threaded comment; however, any edits to it will get removed if the file is opened in a newer version of Excel. Learn more: https://go.microsoft.com/fwlink/?linkid=870924
Comment:
	Breast cancer sensor patch.
</t>
      </text>
    </comment>
    <comment authorId="8" xr:uid="{609c4967-752e-47a1-ac6b-7bd0487ce65b}" ref="F85">
      <text>
        <t xml:space="preserve">[Threaded comment]
 Your version of Excel allows you to read this threaded comment; however, any edits to it will get removed if the file is opened in a newer version of Excel. Learn more: https://go.microsoft.com/fwlink/?linkid=870924
Comment:
	It is not lightweight system.
</t>
      </text>
    </comment>
    <comment authorId="9" xr:uid="{68ef3f12-f443-4a7c-9161-f3c650cef2d2}" ref="F73">
      <text>
        <t xml:space="preserve">[Threaded comment]
 Your version of Excel allows you to read this threaded comment; however, any edits to it will get removed if the file is opened in a newer version of Excel. Learn more: https://go.microsoft.com/fwlink/?linkid=870924
Comment:
	Sensor/Antenna not AI
</t>
      </text>
    </comment>
    <comment authorId="10" xr:uid="{76fcbda5-17ba-45f7-947e-fd4ea1a9d4ef}" ref="F132">
      <text>
        <t xml:space="preserve">[Threaded comment]
 Your version of Excel allows you to read this threaded comment; however, any edits to it will get removed if the file is opened in a newer version of Excel. Learn more: https://go.microsoft.com/fwlink/?linkid=870924
Comment:
	Paper is about sensors not ML.
</t>
      </text>
    </comment>
    <comment authorId="11" xr:uid="{7e8be12d-0f78-4ff1-a523-8e1968631a66}" ref="F67">
      <text>
        <t xml:space="preserve">[Threaded comment]
 Your version of Excel allows you to read this threaded comment; however, any edits to it will get removed if the file is opened in a newer version of Excel. Learn more: https://go.microsoft.com/fwlink/?linkid=870924
Comment:
	Review on imaging techniques
</t>
      </text>
    </comment>
    <comment authorId="12" xr:uid="{836624c1-5a4f-4822-b387-503853e082fb}" ref="F27">
      <text>
        <t xml:space="preserve">[Threaded comment]
 Your version of Excel allows you to read this threaded comment; however, any edits to it will get removed if the file is opened in a newer version of Excel. Learn more: https://go.microsoft.com/fwlink/?linkid=870924
Comment:
	Paper is on prostate cancer.
</t>
      </text>
    </comment>
    <comment authorId="13" xr:uid="{83f62337-a4a1-4363-a8b4-da7a7e1fc1dd}" ref="F28">
      <text>
        <t xml:space="preserve">[Threaded comment]
 Your version of Excel allows you to read this threaded comment; however, any edits to it will get removed if the file is opened in a newer version of Excel. Learn more: https://go.microsoft.com/fwlink/?linkid=870924
Comment:
	Sensor not ML
</t>
      </text>
    </comment>
    <comment authorId="14" xr:uid="{96889a4c-3b5b-4e9c-bf6c-89a76211e203}" ref="F36">
      <text>
        <t xml:space="preserve">[Threaded comment]
 Your version of Excel allows you to read this threaded comment; however, any edits to it will get removed if the file is opened in a newer version of Excel. Learn more: https://go.microsoft.com/fwlink/?linkid=870924
Comment:
	Sensor not ML
</t>
      </text>
    </comment>
    <comment authorId="15" xr:uid="{9a9fce5d-e430-4895-a1d2-b90bd34872e6}" ref="F29">
      <text>
        <t xml:space="preserve">[Threaded comment]
 Your version of Excel allows you to read this threaded comment; however, any edits to it will get removed if the file is opened in a newer version of Excel. Learn more: https://go.microsoft.com/fwlink/?linkid=870924
Comment:
	Sensor not ML
</t>
      </text>
    </comment>
    <comment authorId="16" xr:uid="{a9c7f4f1-4781-4cf6-874b-f2da8098c335}" ref="F101">
      <text>
        <t xml:space="preserve">[Threaded comment]
 Your version of Excel allows you to read this threaded comment; however, any edits to it will get removed if the file is opened in a newer version of Excel. Learn more: https://go.microsoft.com/fwlink/?linkid=870924
Comment:
	Feature selection technique. Not lightweight ML.
</t>
      </text>
    </comment>
    <comment authorId="17" xr:uid="{b3b202b2-165d-4bb9-8a95-f07b9b4d36ed}" ref="F128">
      <text>
        <t xml:space="preserve">[Threaded comment]
 Your version of Excel allows you to read this threaded comment; however, any edits to it will get removed if the file is opened in a newer version of Excel. Learn more: https://go.microsoft.com/fwlink/?linkid=870924
Comment:
	Feature selection technique not AI.
</t>
      </text>
    </comment>
    <comment authorId="18" xr:uid="{b88f626a-711d-4ac8-9f32-50d88309e8bb}" ref="F140">
      <text>
        <t xml:space="preserve">[Threaded comment]
 Your version of Excel allows you to read this threaded comment; however, any edits to it will get removed if the file is opened in a newer version of Excel. Learn more: https://go.microsoft.com/fwlink/?linkid=870924
Comment:
	It is a comparison paper. Good for analysis and challenges section.
</t>
      </text>
    </comment>
    <comment authorId="19" xr:uid="{c293e456-8f3f-414e-98d8-a72e21ccbd63}" ref="F111">
      <text>
        <t xml:space="preserve">[Threaded comment]
 Your version of Excel allows you to read this threaded comment; however, any edits to it will get removed if the file is opened in a newer version of Excel. Learn more: https://go.microsoft.com/fwlink/?linkid=870924
Comment:
	Not a lightweight model, even though it uses a lightweight encoder.
</t>
      </text>
    </comment>
    <comment authorId="20" xr:uid="{cf3f578f-e640-4246-9387-fb60827088e3}" ref="F71">
      <text>
        <t xml:space="preserve">[Threaded comment]
 Your version of Excel allows you to read this threaded comment; however, any edits to it will get removed if the file is opened in a newer version of Excel. Learn more: https://go.microsoft.com/fwlink/?linkid=870924
Comment:
	“Lightweight” refers to the dataset, not the model.
</t>
      </text>
    </comment>
    <comment authorId="21" xr:uid="{d5d0590e-af57-44c2-aa06-bd0b4912ec12}" ref="F133">
      <text>
        <t xml:space="preserve">[Threaded comment]
 Your version of Excel allows you to read this threaded comment; however, any edits to it will get removed if the file is opened in a newer version of Excel. Learn more: https://go.microsoft.com/fwlink/?linkid=870924
Comment:
	Antenna not lightweight model
</t>
      </text>
    </comment>
    <comment authorId="22" xr:uid="{dd633570-a770-438b-8023-9d3a2d772901}" ref="F100">
      <text>
        <t xml:space="preserve">[Threaded comment]
 Your version of Excel allows you to read this threaded comment; however, any edits to it will get removed if the file is opened in a newer version of Excel. Learn more: https://go.microsoft.com/fwlink/?linkid=870924
Comment:
	Paper focuses on cancer postoperative rehabilitation, not BCD.
</t>
      </text>
    </comment>
    <comment authorId="23" xr:uid="{e0a5667d-63d1-4fe3-a931-808d2b8831c6}" ref="F42">
      <text>
        <t xml:space="preserve">[Threaded comment]
 Your version of Excel allows you to read this threaded comment; however, any edits to it will get removed if the file is opened in a newer version of Excel. Learn more: https://go.microsoft.com/fwlink/?linkid=870924
Comment:
	Paper focuses on feature augmentation.
They tested the models on SVM and Random Forest.
</t>
      </text>
    </comment>
    <comment authorId="24" xr:uid="{e47bde68-1e16-40dc-ba6b-433649ed58c9}" ref="F66">
      <text>
        <t xml:space="preserve">[Threaded comment]
 Your version of Excel allows you to read this threaded comment; however, any edits to it will get removed if the file is opened in a newer version of Excel. Learn more: https://go.microsoft.com/fwlink/?linkid=870924
Comment:
	This is a sensor, not an ML model
</t>
      </text>
    </comment>
    <comment authorId="25" xr:uid="{f036f2df-1014-4934-8eb2-cfe8160b7f61}" ref="F142">
      <text>
        <t xml:space="preserve">[Threaded comment]
 Your version of Excel allows you to read this threaded comment; however, any edits to it will get removed if the file is opened in a newer version of Excel. Learn more: https://go.microsoft.com/fwlink/?linkid=870924
Comment:
	Model not lightweight
</t>
      </text>
    </comment>
    <comment authorId="26" xr:uid="{f42f743c-d34c-4f34-859a-cb8f123303a8}" ref="F159">
      <text>
        <t xml:space="preserve">[Threaded comment]
 Your version of Excel allows you to read this threaded comment; however, any edits to it will get removed if the file is opened in a newer version of Excel. Learn more: https://go.microsoft.com/fwlink/?linkid=870924
Comment:
	Only some components are lightweight. Not the overall model.
</t>
      </text>
    </comment>
    <comment authorId="27" xr:uid="{fef9a4f8-2035-4c2a-bc5e-e5321bd9e21f}" ref="F35">
      <text>
        <t xml:space="preserve">[Threaded comment]
 Your version of Excel allows you to read this threaded comment; however, any edits to it will get removed if the file is opened in a newer version of Excel. Learn more: https://go.microsoft.com/fwlink/?linkid=870924
Comment:
	Review paper
</t>
      </text>
    </comment>
    <comment authorId="28" xr:uid="{ff4c76e2-7c11-41aa-9838-0c14753ca221}" ref="F69">
      <text>
        <t xml:space="preserve">[Threaded comment]
 Your version of Excel allows you to read this threaded comment; however, any edits to it will get removed if the file is opened in a newer version of Excel. Learn more: https://go.microsoft.com/fwlink/?linkid=870924
Comment:
	Microwave antenna
Reply:
	It is a review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tc={6157556a-1456-4cab-ae72-02a2693ae801}</author>
  </authors>
  <commentList>
    <comment authorId="0" xr:uid="{6157556a-1456-4cab-ae72-02a2693ae801}" ref="H11">
      <text>
        <t xml:space="preserve">[Threaded comment]
 Your version of Excel allows you to read this threaded comment; however, any edits to it will get removed if the file is opened in a newer version of Excel. Learn more: https://go.microsoft.com/fwlink/?linkid=870924
Comment:
	these were read by babe. the number represents its citation number in the original paper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tc={0a190d59-e7c6-48ce-99ce-65697a4a2a7b}</author>
  </authors>
  <commentList>
    <comment authorId="0" xr:uid="{0a190d59-e7c6-48ce-99ce-65697a4a2a7b}" ref="B8">
      <text>
        <t xml:space="preserve">[Threaded comment]
 Your version of Excel allows you to read this threaded comment; however, any edits to it will get removed if the file is opened in a newer version of Excel. Learn more: https://go.microsoft.com/fwlink/?linkid=870924
Comment:
	extension of 15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tc={05c4e21b-819a-4a37-a7bc-d69bc2784f5e}</author>
    <author>tc={0be436d2-f46e-4d7e-8b19-13a43418cc86}</author>
    <author>tc={0be87563-10af-4755-a779-8ce886680195}</author>
    <author>tc={3a86a1e0-f31c-4160-9486-8a48cfb507fe}</author>
    <author>tc={4aa512a9-9e7c-4535-a8be-6f528f7ca674}</author>
    <author>tc={5228d4b8-d9cc-44ed-bf2d-3b783e4926ce}</author>
    <author>tc={74594495-cc43-43b7-8de8-1d344ab4e349}</author>
    <author>tc={7aa45518-c14d-436d-9eb4-160dbb945b48}</author>
    <author>tc={97fda398-71bc-4246-bfae-fac503b6f60d}</author>
    <author>tc={ad3443f0-3265-4622-88aa-c278f93eb064}</author>
    <author>tc={c895942a-c989-4cf4-a899-7bdf2ee6e1e5}</author>
    <author>tc={fb9fdd0f-f026-4b7a-a939-55b844f7b3be}</author>
  </authors>
  <commentList>
    <comment authorId="0" xr:uid="{05c4e21b-819a-4a37-a7bc-d69bc2784f5e}" ref="O18">
      <text>
        <t xml:space="preserve">[Threaded comment]
 Your version of Excel allows you to read this threaded comment; however, any edits to it will get removed if the file is opened in a newer version of Excel. Learn more: https://go.microsoft.com/fwlink/?linkid=870924
Comment:
	Multi-stage ML
</t>
      </text>
    </comment>
    <comment authorId="1" xr:uid="{0be436d2-f46e-4d7e-8b19-13a43418cc86}" ref="C8">
      <text>
        <t xml:space="preserve">[Threaded comment]
 Your version of Excel allows you to read this threaded comment; however, any edits to it will get removed if the file is opened in a newer version of Excel. Learn more: https://go.microsoft.com/fwlink/?linkid=870924
Comment:
	wholes image
</t>
      </text>
    </comment>
    <comment authorId="2" xr:uid="{0be87563-10af-4755-a779-8ce886680195}" ref="C3">
      <text>
        <t xml:space="preserve">[Threaded comment]
 Your version of Excel allows you to read this threaded comment; however, any edits to it will get removed if the file is opened in a newer version of Excel. Learn more: https://go.microsoft.com/fwlink/?linkid=870924
Comment:
	split averaging
</t>
      </text>
    </comment>
    <comment authorId="3" xr:uid="{3a86a1e0-f31c-4160-9486-8a48cfb507fe}" ref="G18">
      <text>
        <t xml:space="preserve">[Threaded comment]
 Your version of Excel allows you to read this threaded comment; however, any edits to it will get removed if the file is opened in a newer version of Excel. Learn more: https://go.microsoft.com/fwlink/?linkid=870924
Comment:
	Time is in seconds per image
</t>
      </text>
    </comment>
    <comment authorId="4" xr:uid="{4aa512a9-9e7c-4535-a8be-6f528f7ca674}" ref="C6">
      <text>
        <t xml:space="preserve">[Threaded comment]
 Your version of Excel allows you to read this threaded comment; however, any edits to it will get removed if the file is opened in a newer version of Excel. Learn more: https://go.microsoft.com/fwlink/?linkid=870924
Comment:
	split averaging
</t>
      </text>
    </comment>
    <comment authorId="5" xr:uid="{5228d4b8-d9cc-44ed-bf2d-3b783e4926ce}" ref="G1">
      <text>
        <t xml:space="preserve">[Threaded comment]
 Your version of Excel allows you to read this threaded comment; however, any edits to it will get removed if the file is opened in a newer version of Excel. Learn more: https://go.microsoft.com/fwlink/?linkid=870924
Comment:
	unit is seconds
</t>
      </text>
    </comment>
    <comment authorId="6" xr:uid="{74594495-cc43-43b7-8de8-1d344ab4e349}" ref="C4">
      <text>
        <t xml:space="preserve">[Threaded comment]
 Your version of Excel allows you to read this threaded comment; however, any edits to it will get removed if the file is opened in a newer version of Excel. Learn more: https://go.microsoft.com/fwlink/?linkid=870924
Comment:
	split threshold
</t>
      </text>
    </comment>
    <comment authorId="7" xr:uid="{7aa45518-c14d-436d-9eb4-160dbb945b48}" ref="G2">
      <text>
        <t xml:space="preserve">[Threaded comment]
 Your version of Excel allows you to read this threaded comment; however, any edits to it will get removed if the file is opened in a newer version of Excel. Learn more: https://go.microsoft.com/fwlink/?linkid=870924
Comment:
	One epoch of training
</t>
      </text>
    </comment>
    <comment authorId="8" xr:uid="{97fda398-71bc-4246-bfae-fac503b6f60d}" ref="C7">
      <text>
        <t xml:space="preserve">[Threaded comment]
 Your version of Excel allows you to read this threaded comment; however, any edits to it will get removed if the file is opened in a newer version of Excel. Learn more: https://go.microsoft.com/fwlink/?linkid=870924
Comment:
	split threshold
</t>
      </text>
    </comment>
    <comment authorId="9" xr:uid="{ad3443f0-3265-4622-88aa-c278f93eb064}" ref="F16">
      <text>
        <t xml:space="preserve">[Threaded comment]
 Your version of Excel allows you to read this threaded comment; however, any edits to it will get removed if the file is opened in a newer version of Excel. Learn more: https://go.microsoft.com/fwlink/?linkid=870924
Comment:
	* Text was transformed into image
</t>
      </text>
    </comment>
    <comment authorId="10" xr:uid="{c895942a-c989-4cf4-a899-7bdf2ee6e1e5}" ref="C5">
      <text>
        <t xml:space="preserve">[Threaded comment]
 Your version of Excel allows you to read this threaded comment; however, any edits to it will get removed if the file is opened in a newer version of Excel. Learn more: https://go.microsoft.com/fwlink/?linkid=870924
Comment:
	whole image
</t>
      </text>
    </comment>
    <comment authorId="11" xr:uid="{fb9fdd0f-f026-4b7a-a939-55b844f7b3be}" ref="G15">
      <text>
        <t xml:space="preserve">[Threaded comment]
 Your version of Excel allows you to read this threaded comment; however, any edits to it will get removed if the file is opened in a newer version of Excel. Learn more: https://go.microsoft.com/fwlink/?linkid=870924
Comment:
	Inference time per WSI on average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tc={4f9bc732-d28f-45c0-b2fa-c417a15b768c}</author>
  </authors>
  <commentList>
    <comment authorId="0" xr:uid="{4f9bc732-d28f-45c0-b2fa-c417a15b768c}" ref="E16">
      <text>
        <t xml:space="preserve">[Threaded comment]
 Your version of Excel allows you to read this threaded comment; however, any edits to it will get removed if the file is opened in a newer version of Excel. Learn more: https://go.microsoft.com/fwlink/?linkid=870924
Comment:
	Specificity
</t>
      </text>
    </comment>
  </commentList>
</comments>
</file>

<file path=xl/sharedStrings.xml><?xml version="1.0" encoding="utf-8"?>
<sst xmlns="http://schemas.openxmlformats.org/spreadsheetml/2006/main" count="5477" uniqueCount="2552">
  <si>
    <t>Searched</t>
  </si>
  <si>
    <t>Authors</t>
  </si>
  <si>
    <t>D</t>
  </si>
  <si>
    <t>Duplicates</t>
  </si>
  <si>
    <t>Author full names</t>
  </si>
  <si>
    <t>Author(s) ID</t>
  </si>
  <si>
    <t>Title</t>
  </si>
  <si>
    <t>Year</t>
  </si>
  <si>
    <t>Source title</t>
  </si>
  <si>
    <t>Volume</t>
  </si>
  <si>
    <t>Cited by</t>
  </si>
  <si>
    <t>Issue</t>
  </si>
  <si>
    <t>Link</t>
  </si>
  <si>
    <t>Art. No.</t>
  </si>
  <si>
    <t>Page start</t>
  </si>
  <si>
    <t>Status</t>
  </si>
  <si>
    <t>Page end</t>
  </si>
  <si>
    <t>2015 5th International Conference on Computer and Knowledge Engineering, ICCKE 2015</t>
  </si>
  <si>
    <t>DOI</t>
  </si>
  <si>
    <t>Abstract</t>
  </si>
  <si>
    <t>Author Keywords</t>
  </si>
  <si>
    <t>https://www.scopus.com/inward/record.uri?eid=2-s2.0-84964444601&amp;partnerID=40&amp;md5=2ee5946f8c55e6a977c2c788fc1c7690</t>
  </si>
  <si>
    <t>Index Keywords</t>
  </si>
  <si>
    <t>Document Type</t>
  </si>
  <si>
    <t>Publication Stage</t>
  </si>
  <si>
    <t>Open Access</t>
  </si>
  <si>
    <t>Source</t>
  </si>
  <si>
    <t>EID</t>
  </si>
  <si>
    <t>Ramya, T.V.; Dorathi Jayaseeli, J.D.</t>
  </si>
  <si>
    <t>IR</t>
  </si>
  <si>
    <t>Ramya, T. V. (60225796400); Dorathi Jayaseeli, J. D. (56938772800)</t>
  </si>
  <si>
    <t>60225796400; 56938772800</t>
  </si>
  <si>
    <t>Invalid Record</t>
  </si>
  <si>
    <t>Explainable deep learning framework for breast tumor analysis in ultrasound imaging systems</t>
  </si>
  <si>
    <t>Biomedical Signal Processing and Control</t>
  </si>
  <si>
    <t>10.1016/j.bspc.2025.109336</t>
  </si>
  <si>
    <t>https://www.scopus.com/inward/record.uri?eid=2-s2.0-105023961528&amp;doi=10.1016%2Fj.bspc.2025.109336&amp;partnerID=40&amp;md5=568ab874f496a95afcd8a872cefff7a9</t>
  </si>
  <si>
    <t>ST</t>
  </si>
  <si>
    <t>Screened Out by Title</t>
  </si>
  <si>
    <t>SA</t>
  </si>
  <si>
    <t>Screened Out by Abstract</t>
  </si>
  <si>
    <t>SF</t>
  </si>
  <si>
    <t>Screened Out by full text</t>
  </si>
  <si>
    <t>P</t>
  </si>
  <si>
    <t>Passed</t>
  </si>
  <si>
    <t>RT</t>
  </si>
  <si>
    <t>Breast cancer is one of the leading causes of mortality among women. Ultrasound imaging has emerged as a promising, non-invasive technique for early detection. Convolutional Neural Networks (CNNs) are widely used for image classification; however, identifying optimal architectures and hyperparameters remains challenging. Moreover, the growing number of breast-cancer screenings requires automated deep-learning (DL) solutions that are fast, cost-effective, and highly accurate. This study proposes a lightweight, optimization-based end-to-end model, U-Net-R-SE combined with a Capsule Network (CN) optimized using the Blood-Sucking Leech Optimizer (BSLO), to jointly perform segmentation and classification of breast tumors. Unlike existing works that handle these tasks independently, the proposed approach integrates U-Net-R-SE with CN-BSLO to achieve a balance between interpretability, accuracy, and computational efficiency. Tumor regions are segmented using the Residual Squeeze-and-Excitation U-Net (U-Net-R-SE), which incorporates residual connections and squeeze-excitation modules to enhance segmentation precision. The CN-BSLO module then classifies images into normal, benign, and malignant categories. Tumor-size estimation for malignant cases adds clinical value, while Explainable AI (XAI) visualization through Grad-CAM provides interpretability. Experiments conducted on the BUSI and BUS-UCLM benchmark datasets show that the proposed U-Net-R-SE + CN-BSLO framework surpasses other CNN-based models, achieving classification accuracies of 99.24 % (BUSI) and 99.31 % (BUS-UCLM). These results demonstrate the model's robustness and its potential to assist clinicians in making accurate, efficient, and explainable diagnostic decisions. © 2025 Elsevier Ltd</t>
  </si>
  <si>
    <t>Retrected</t>
  </si>
  <si>
    <t>Blood sucking leech optimization; Breast cancer; Capsule network; U-net based residual squeeze excitation</t>
  </si>
  <si>
    <t>Classification (of information); Computational efficiency; Computer aided diagnosis; Convolutional neural networks; Cost effectiveness; Deep learning; Diseases; Image classification; Image enhancement; Image segmentation; Imaging systems; Medical imaging; Ultrasonic imaging; Blood sucking; Blood sucking leech optimization; Breast Cancer; Breast tumour; Capsule network; Convolutional neural network; Interpretability; Optimisations; Optimizers; U-net based residual squeeze excitation; Tumors</t>
  </si>
  <si>
    <t>Article</t>
  </si>
  <si>
    <t>Final</t>
  </si>
  <si>
    <t>Scopus</t>
  </si>
  <si>
    <t>2-s2.0-105023961528</t>
  </si>
  <si>
    <t>Han, K.; Li, Z.; Cai, M.</t>
  </si>
  <si>
    <t>Han, Kun (60143829500); Li, Zhigang (57191700329); Cai, Minjie (60143786500)</t>
  </si>
  <si>
    <t>60143829500; 57191700329; 60143786500</t>
  </si>
  <si>
    <t>YOLOv9-AGMA: An enhanced knowledge distillation network for breast ultrasound image classification</t>
  </si>
  <si>
    <t>NA</t>
  </si>
  <si>
    <t>Not Available</t>
  </si>
  <si>
    <t>10.1016/j.bspc.2025.108957</t>
  </si>
  <si>
    <t>https://www.scopus.com/inward/record.uri?eid=2-s2.0-105018916964&amp;doi=10.1016%2Fj.bspc.2025.108957&amp;partnerID=40&amp;md5=020af2d2b9cb976f3867990e09069bbb</t>
  </si>
  <si>
    <t>of 162</t>
  </si>
  <si>
    <t>Y</t>
  </si>
  <si>
    <t>In Paper</t>
  </si>
  <si>
    <t>Agarwal M.; Dwivedi A.K.; Gupta S.K.; Najafzadeh M.; Jindal M.</t>
  </si>
  <si>
    <t>Genetic Algorithm-Based Optimization of UNet for Breast Cancer Classification: A Lightweight and Efficient Approach for IoT Devices</t>
  </si>
  <si>
    <t>Ultrasound imaging has become one of the primary methods for diagnosing breast cancer in women. The YOLOv9e network, a real-time algorithm balancing speed and accuracy, is widely used in breast imaging analysis requiring efficient processing. However, the YOLOv9e network suffers from a high parameter count and model complexity. To address this, we removed the original model's CBLinear and CBFuse modules, constructing a new lightweight network, YOLOv9-AGMA, to reduce computational resource consumption. Furthermore, this paper proposes a novel module, AGMA (Adaptive Gated Multi-scale Attention Module), to further enhance accuracy. This module dynamically adjusts the adaptive association of features across different scales after channel splitting in the original network. Integrated into the neck layer, it optimizes the feature representation capability for learning global contextual semantic information across spaces, thereby reducing information loss caused by unreasonable channel combinations and further improving precision. Secondly, a dense prediction-based Channel-Wise Knowledge Distillation (CWD) method is employed to enhance the model's robustness to noise, enabling the student network to learn key feature knowledge from the lesion foreground regions of the teacher network. Subsequently, the LayerCAM method is used for model introspection, enhancing the interpretability of AGMA's ability to precisely locate sensitive regions. Experimental results show that the model's precision is improved by 9.9%, while the proposed architecture has only 3.17% of the original model's parameter size and 3.81% of its model complexity, significantly reducing computational demands. © 2025 Elsevier Ltd</t>
  </si>
  <si>
    <t>Channel-wise knowledge distillation; Feature correlation; Ultrasound imaging</t>
  </si>
  <si>
    <t>Classification (of information); Complex networks; Computational complexity; Distillation; Image enhancement; Medical imaging; Semantics; Breast Cancer; Breast ultrasound images; Channel-wise knowledge distillation; Feature correlation; Images classification; Modeling complexity; Multi-scales; Original model; Real time algorithms; Ultrasound imaging; Image classification; Ultrasonic imaging; adaptive gated multi scale attention module; Article; breast cancer; breast imaging reporting and data system; channel wise knowledge distillation; comparative study; confusion matrix; controlled study; deep learning; detection algorithm; echomammography; human; image analysis; image display; noise; prediction; quantitative analysis; semantics; statistical significance; you only look once v9</t>
  </si>
  <si>
    <t>https://www.scopus.com/inward/record.uri?eid=2-s2.0-85190406689&amp;doi=10.1007%2f978-3-031-56703-2_31&amp;partnerID=40&amp;md5=54f0a2b69450a60ed799a6e9aced10f1</t>
  </si>
  <si>
    <t>2-s2.0-105018916964</t>
  </si>
  <si>
    <t>Liu, F.; Wang, J.; Pan, H.; Zhang, Y.; Shu, Y.</t>
  </si>
  <si>
    <t>Liu, Fan (60214294900); Wang, Jiangtao (55878720800); Pan, Hailin (23095359100); Zhang, Yukun (60157851700); Shu, Yicheng (60214437100)</t>
  </si>
  <si>
    <t>60214294900; 55878720800; 23095359100; 60157851700; 60214437100</t>
  </si>
  <si>
    <t>E2D2R-Net: Echo-Enhanced Dual-Dilated Residual Attention Network for Precise Breast Ultrasound Segmentation</t>
  </si>
  <si>
    <t>Lecture Notes in Computer Science</t>
  </si>
  <si>
    <t>16311 LNCS</t>
  </si>
  <si>
    <t>10.1007/978-981-95-4381-6_13</t>
  </si>
  <si>
    <t>https://www.scopus.com/inward/record.uri?eid=2-s2.0-105023191105&amp;doi=10.1007%2F978-981-95-4381-6_13&amp;partnerID=40&amp;md5=76635e30a7f17f88b4c584ff1c760a80</t>
  </si>
  <si>
    <t>Accurate segmentation of breast ultrasound images is critical for early cancer detection yet poses significant challenges due to severe noise and blurred boundaries of weak echo signals. Traditional convolution-based segmentation networks struggle to effectively balance noise suppression and detail description constrained by fixed receptive fields, while Transformer-based segmentation networks have greatly enhanced long-range dependency modeling; however, hierarchical downsampling often results in the loss of high-frequency details and is deficient in dynamically adapting to ultrasound noise. To address these limitations, we propose the Echo-Enhanced Dual-Dilated Residual Attention Network (E2D2R-Net). First, EchoFocus Window Multi-head Self-Attention (EFW-MSA) integrates global channel recalibration with parallel spatial-channel dual attention, enabling noise-adaptive suppression and enhanced delineation of fine boundaries. Second, Dual-Dilated Merging (DDM) substitutes linear downsampling, capturing micro-texture and macro-context via lightweight double-dilated convolution branches. Finally, Lightweight Residual Separable Attention Gate (LRSAG) is incorporated into the jump connection, incorporating a separable attention gate and residual edge preservation branch, thereby effectively filtering encoder noise, preserving weak echo features, and significantly reducing false positives in small lesion segmentation. E2D2R-Net enhances the integration of local and global context, minimizes computational overhead, and improves clinical applicability. Experiments on the BUSI and UDIAT datasets confirm the feasibility and efficacy of the proposed method. © The Author(s), under exclusive license to Springer Nature Singapore Pte Ltd. 2026.</t>
  </si>
  <si>
    <t>Breast tumor; CNN; Transformer; Ultrasound image</t>
  </si>
  <si>
    <t>Biomedical engineering; Convolution; Medical computing; Medical imaging; Spurious signal noise; Textures; Ultrasonic imaging; Ultrasonics; Blurred boundaries; Breast tumour; Breast ultrasound; Breast ultrasound images; Down sampling; Early cancer detection; Echo-signal; Noise suppression; Transformer; Ultrasound images; Image segmentation</t>
  </si>
  <si>
    <t>Conference paper</t>
  </si>
  <si>
    <t>2-s2.0-105023191105</t>
  </si>
  <si>
    <t>Banerjee, J.; Pal, R.; Sarkar, R.</t>
  </si>
  <si>
    <t>Banerjee, Jotiraditya (59976485500); Pal, Rajdeep (57194342714); Sarkar, Ram Krishna (13607482600)</t>
  </si>
  <si>
    <t>59976485500; 57194342714; 13607482600</t>
  </si>
  <si>
    <t>A Shapley Value-Based Gated Feature Fusion of Multi-branch Deep Learning Framework for Breast Cancer Screening of Thermal Images</t>
  </si>
  <si>
    <t>16308 LNCS</t>
  </si>
  <si>
    <t>10.1007/978-3-032-10990-3_3</t>
  </si>
  <si>
    <t>https://www.scopus.com/inward/record.uri?eid=2-s2.0-105022977980&amp;doi=10.1007%2F978-3-032-10990-3_3&amp;partnerID=40&amp;md5=2b9dfc389912c7473ad9b29e61ac4876</t>
  </si>
  <si>
    <t>Wen K.; Jin X.; An H.; He J.; Wang J.</t>
  </si>
  <si>
    <t>CentroidNet：a light-weight，fast nuclei centroid detection model for breast Ki67 scoring; [CentroidNet：轻量快速的乳腺癌 Ki67 细胞核中心点检测模型]</t>
  </si>
  <si>
    <t>https://www.scopus.com/inward/record.uri?eid=2-s2.0-85162885117&amp;doi=10.11834%2fjig.211207&amp;partnerID=40&amp;md5=d9407b24027b38c91c2bc4c85936ca92</t>
  </si>
  <si>
    <t>Breast cancer detection using thermal imaging presents a non-invasive, cost-effective screening alternative, especially suited for resource-limited environments. This paper proposes a multi-branch hybrid deep learning framework that simultaneously processes spatial thermograms and their frequency-domain Power Spectral Density (PSD) representations. A novel Shapley-value based Gated Fusion mechanism adaptively integrates complementary features extracted via a lightweight MobileNetV3Small backbone, enhancing the discriminative capability of the overall model, while maintaining computational efficiency. The model is trained and evaluated on the publicly available DMR-IR dataset of thermal breast images. Experimental results demonstrate superior diagnostic accuracy compared to prior state-of-the-art approaches, highlighting the efficacy of joint spatial-frequency feature learning for breast cancer classification. The codes for this work are available at : https://github.com/Kylian07/Shaply-based-Gated-Fusion. © The Author(s), under exclusive license to Springer Nature Switzerland AG 2026.</t>
  </si>
  <si>
    <t>Breast Cancer; DMR-IR Dataset; Feature Fusion; Frequency Domain; Power Spectral Density; Shapley Value; Thermal Image</t>
  </si>
  <si>
    <t>Classification (of information); Computational efficiency; Computer aided diagnosis; Cost effectiveness; Diseases; Infrared imaging; Learning systems; Medical computing; Medical imaging; Breast Cancer; Breast cancer screening; DMR-IR dataset; Features fusions; Frequency domains; Learning frameworks; Power spectral; Shapley value; Thermal images; Value-based; Spectral density</t>
  </si>
  <si>
    <t>2-s2.0-105022977980</t>
  </si>
  <si>
    <t>3rd International Conference on Intelligent Systems and Data Science, ISDS 2025</t>
  </si>
  <si>
    <t>Communications in Computer and Information Science</t>
  </si>
  <si>
    <t>2714 CCIS</t>
  </si>
  <si>
    <t>https://www.scopus.com/inward/record.uri?eid=2-s2.0-105020807763&amp;partnerID=40&amp;md5=50c612cf335d392c43da9291577fa56a</t>
  </si>
  <si>
    <t>The proceedings contain 69 papers. The special focus in this conference is on Intelligent Systems and Data Science,. The topics include: Improving Rice Disease Segmentation via Iterative Pseudo-label Correction; Explainable AI for Agriculture: Teacher-Student Learning in Rice Pest Classification; optimizing EfficientNetV2 for Insect Classification; semantic Similarity for User-Based Collaborative Recommendation Systems; reforming Attention in Transformer-Based Graph Neural Networks for Fashion Recommendation; Decision Support System for Selecting Majors in IT Training Programs; An Explainable Biased Multi-relational Matrix Factorization Model Using XAI for Recommendation Systems; An Efficient Lightweight Multimodal Framework for Autism Behavior Recognition on the AV-ASD Dataset; Painless and Accurate AI-Driven Method for Personal Glucose Tracking Based on Multi-spectral Sensing; MS-CXR: Improving Multi-label Chest X-Ray Classification via a Multi-architecture Soft Voting; ESQ-YOLO: An Efficient Method for Blood Cell Detection Based on Improved YOLOv8; Breast Cancer Classification Using Ensemble Deep Learning with RIDOPT-Net; A Semi-Automated MRI-Image Processing System for Exploratory Analysis of Radiomics Features Toward Clinical Prediction of Meningioma Growth; a Meta-Classifier Built on Self-supervised Models for Improving Chest X-Ray Image Classification; Secure Offloading for Terahertz-Band UAV-Aided MEC Backscatter Communication Networks; enhancing Model Privacy and Security for Blockchain-Based Federated Learning; an Improved Low-Power Wearable Sensor for Dairy Cow Behavior Classification Using Deep Learning Algorithms; a Time-Frequency Signal Analysis System for Drastic Improvement of Sensitivity and Detection Duration of Biosensors; vibration-Based Diagnosis and Monitoring of Bearing Degradation; random Forest with Z-score in Supervised Machine Learning; Optimizing Image Colorization: Innovations with CVAE; Ontology-Enhanced Semantic Image Search with Deep Learning and CLIP Embedding; deep Ant Colony Optimization for Electric Pickup and Delivery Problem; automatic 3D Space Reconstruction System from Video Using 3D Gaussian Splatting; AI-Agent-Powered Video Object Contextualization &amp; Retrieval System: Architecture and System.</t>
  </si>
  <si>
    <t>Conference review</t>
  </si>
  <si>
    <t>2-s2.0-105020807763</t>
  </si>
  <si>
    <t>https://www.scopus.com/inward/record.uri?eid=2-s2.0-105020704025&amp;partnerID=40&amp;md5=30fb2a9fd8aadeedf5c66068e4723937</t>
  </si>
  <si>
    <t>Das R.; Kaur K.; Walia E.</t>
  </si>
  <si>
    <t>Feature Generalization for Breast Cancer Detection in Histopathological Images</t>
  </si>
  <si>
    <t>https://www.scopus.com/inward/record.uri?eid=2-s2.0-85129147479&amp;doi=10.1007%2fs12539-022-00515-1&amp;partnerID=40&amp;md5=16dd14cd8dbb497f3998a54935a1bf9b</t>
  </si>
  <si>
    <t>2-s2.0-105020704025</t>
  </si>
  <si>
    <t>2nd International Conference on Recent Trends in AI Enabled Technologies, ThinkAI 2024</t>
  </si>
  <si>
    <t>2322 CCIS</t>
  </si>
  <si>
    <t>https://www.scopus.com/inward/record.uri?eid=2-s2.0-105011360736&amp;partnerID=40&amp;md5=b28c76d835bc37d2e99fd95af00df13f</t>
  </si>
  <si>
    <t>The proceedings contain 18 papers. The special focus in this conference is on Recent Trends in AI Enabled Technologies. The topics include: Points of Interest Reviews Summarization for YELP Dataset Using Natural Language Processing; Multi-stream CNN for Salient Object Detection; An Optimized Convolutional Neural Network for Accurate and Efficient Detection of Spine Fractures in CT Scans; A Systematic Review of Deep Learning Models for Intrusion Detection: From CNN to Hybrid Architectures; leveraging Artificial Intelligence for Real-Time Decision-Making in Emergency Healthcare Systems; enhancing Mental Health Diagnostics with Advanced Machine Learning Techniques: A Comparative Study; hybrid Machine Learning Approaches for Enhanced Insurance Fraud Detection; Explainable Artificial Intelligence(XAI) in Cardiac Disease: Using SHAP Technique; lightweight Deep Learning Framework for Efficient Breast Cancer Classification in Ultrasound Imaging; Efficient Multi-cancer Detection: A Unified CNN Approach Leveraging Transfer Learning and Depthwise Convolutions; a Review and Potential Gaps in News Article Classification; deep EnsembleTransfer Learning Framework for Enhanced Endoscopic Image Classification; Impact of COVID-19 on Stock Market Prediction: A Study Using LSTM and STANN Approaches; sentiment Analysis Techniques for Social Media and Customer Reviews; attention-Enhanced EfficientNet for Accurate Skin Cancer Diagnosis: A Deep Learning Approach; Enhancing Remaining Useful Life Prediction: A Comparative Study of Classical Machine Learning and Generative AI.</t>
  </si>
  <si>
    <t>2-s2.0-105011360736</t>
  </si>
  <si>
    <t>Lu, R.; Hu, X.; Liu, S.; Wu, Z.; Song, Z.; Jiang, X.; Ni, Z.; Yi, H.</t>
  </si>
  <si>
    <t>Lu, Rongsheng (55863713000); Hu, Xiaokai (58812115200); Liu, Siyu (57486048800); Wu, Zhengxiu (57316808300); Song, Zijie (60094339400); Jiang, Xiaowen (57200752171); Ni, Zhonghua (7102668099); Yi, Hong (57203845245)</t>
  </si>
  <si>
    <t>55863713000; 58812115200; 57486048800; 57316808300; 60094339400; 57200752171; 7102668099; 57203845245</t>
  </si>
  <si>
    <t>Design of radio-frequency coils for a 50 mT mobile breast magnetic resonance imaging prototype</t>
  </si>
  <si>
    <t>Medical Physics</t>
  </si>
  <si>
    <t>e70189</t>
  </si>
  <si>
    <t>10.1002/mp.70189</t>
  </si>
  <si>
    <t>https://www.scopus.com/inward/record.uri?eid=2-s2.0-105024146707&amp;doi=10.1002%2Fmp.70189&amp;partnerID=40&amp;md5=4fb3751cf966f59df683e576f98afe45</t>
  </si>
  <si>
    <t>Kotei E.; Thirunavukarasu R.</t>
  </si>
  <si>
    <t>Visual attention condenser model for multiple disease detection from heterogeneous medical image modalities</t>
  </si>
  <si>
    <t>https://www.scopus.com/inward/record.uri?eid=2-s2.0-85169909058&amp;doi=10.1007%2fs11042-023-16625-x&amp;partnerID=40&amp;md5=10f60762e9a27c0f03e6c3dfb17fd1d1</t>
  </si>
  <si>
    <t>Background: Breast cancer has become the most common cancer among women worldwide. Magnetic resonance imaging (MRI) can compensate for the limitations of x-ray breast scanning and ultrasound in the early detection of patients with dense breasts. However, limited by the density of MRI units per million population and the cost of high-field MRI systems, breast MRI is not widely used in breast cancer screening. Ultra-low field MRI can potentially promote the application of MRI for breast detection, but specialized breast radio-frequency (RF) coils are required. Purpose: The RF coils with a resonant frequency of 2.131 MHz include a high uniformity transmit coil with a low depth-to-width ratio and a four-channel phased-array receive coil, which are designed specifically for a 50 mT runway-type lightweight magnet with a vertical static magnetic field to achieve mobile breast MRI. Methods: The transmit coil adopts the variant solenoid structure. To ensure the RF field uniformity within the target area is greater than 95%, the transmit coil's dimension parameters were calculated using a nonlinear programming algorithm. Due to the main magnetic field being a vertical field, the receive coil employs a four-channel phased-array to achieve high sensitivity, and the overlapping area between the channels was optimized to achieve decoupling by simulating the minimum mutual inductance. Finally, the RF coils' performance was verified through a phantom experiment on the self-developed mobile 50 mT breast MRI prototype. Results: The non-uniformity of the RF field of the modified solenoid coil in the target area can reach 3.7%. The adjacent receive coils have a minimum mutual inductance of 0.232 nH, as the overlapping area is 16.12%. The performance results indicated that the designed transmit coil has a low return loss (RL) of −44.4 dB and a high Q value of 46.55. The S12 value between adjacent channels of the receive coil is below −25 dB, and between non-adjacent channels is about −12 dB. The imaging ability of the designed RF coils was validated by the phantom experiments on the 50 mT breast MRI prototype. Conclusions: The designed transmit and receive coils in this paper can meet the requirements of the 50 mT mobile MRI with a vertical static magnetic field, which is expected to promote the application of ultra-low field MRI technology in breast cancer screening. © 2025 American Association of Physicists in Medicine.</t>
  </si>
  <si>
    <t>breast; mobile MRI; phased-array coil; RF coil; ultra-low field</t>
  </si>
  <si>
    <t>Antenna phased arrays; Diagnosis; Diseases; Magnetic fields; Magnetic resonance imaging; Medical imaging; Natural frequencies; Phantoms; Radio waves; Software prototyping; Solenoids; Breast; Breast cancer screening; Breast magnetic-resonance imaging; Four-channel; Imaging prototype; Low field magnetic resonance; Mobile magnetic resonance imaging; Phased array coils; Radio-frequency coil; Ultra-low field; Inductance; Nonlinear programming; breast; breast tumor; devices; diagnostic imaging; equipment design; female; human; imaging phantom; nuclear magnetic resonance imaging; radiofrequency radiation; Breast Neoplasms; Equipment Design; Female; Humans; Magnetic Resonance Imaging; Phantoms, Imaging; Radio Waves</t>
  </si>
  <si>
    <t>2-s2.0-105024146707</t>
  </si>
  <si>
    <t>Yilmaz, M.T.; Algül, E.; Pacal, I.</t>
  </si>
  <si>
    <t>Yilmaz, Mustafa Tahsn (60214316700); Algül, Enes (57203547441); Pacal, Ishak (57219196737)</t>
  </si>
  <si>
    <t>60214316700; 57203547441; 57219196737</t>
  </si>
  <si>
    <t>A comparative study of advanced deep learning architectures for breast cancer classification on ultrasound and histological images</t>
  </si>
  <si>
    <t>Results in Engineering</t>
  </si>
  <si>
    <t>10.1016/j.rineng.2025.107600</t>
  </si>
  <si>
    <t>https://www.scopus.com/inward/record.uri?eid=2-s2.0-105023189687&amp;doi=10.1016%2Fj.rineng.2025.107600&amp;partnerID=40&amp;md5=3d0571c7fd81596048b37b43fd42aeed</t>
  </si>
  <si>
    <t>Breast cancer persists as a critical global health issue and is the most frequently diagnosed malignancy worldwide. Early and accurate detection is paramount, as it significantly improves survival rates and treatment efficacy. While medical imaging, particularly ultrasound and histopathology, is central to diagnosis, deep learning has emerged as a promising paradigm to enhance diagnostic accuracy and support clinical workflows via automated classification. This study provides a comprehensive, systematic comparison of state-of-the-art deep learning architectures using two standardized public datasets: Breast Ultrasound Images (BUSI) and Breast Cancer Histology (BACH). Nearly 30 Convolutional Neural Network (CNN) and Vision Transformer (ViT) models were rigorously assessed, incorporating transfer learning and data augmentation to mitigate challenges of class imbalance and limited data. Our findings reveal that optimal model performance is strongly modality-dependent. For the BUSI dataset, CNN-based architectures demonstrated superior performance, with EfficientNetV2-Small achieving a peak accuracy of 90.52 %. Conversely, on the BACH dataset, the multi-scale ViT (MViTv2-Base) and the lightweight CNN (MobileNetV3-Large-100) jointly achieved the highest accuracy of 91.67 %. These results establish strong performance benchmarks and offer evidence-based guidance for selecting architectures tailored to specific imaging modalities. By identifying computationally efficient yet high-performing models, this work contributes to the advancement of deployable computer-aided diagnosis systems for diverse clinical contexts, with the ultimate goal of enhancing patient care and outcomes. © © 2025. Published by Elsevier B.V.</t>
  </si>
  <si>
    <t>Breast cancer; Computer-aided diagnosis; Convolutional neural networks; Deep learning; Histopathology; Ultrasound imaging; Vision transformers</t>
  </si>
  <si>
    <t>Computer aided diagnosis; Convolution; Convolutional neural networks; Deep neural networks; Diseases; Image classification; Large datasets; Learning systems; Medical computing; Medical imaging; Ultrasonics; Breast Cancer; Breast ultrasound images; Computer-aided; Convolutional neural network; Deep learning; Histopathology; Learning architectures; Performance; Ultrasound imaging; Vision transformer; Ultrasonic imaging</t>
  </si>
  <si>
    <t>All Open Access; Gold Open Access; Green Accepted Open Access; Green Open Access</t>
  </si>
  <si>
    <t>2-s2.0-105023189687</t>
  </si>
  <si>
    <t>Bruno, P.; Macrì, M.; Dodaro, C.</t>
  </si>
  <si>
    <t>Bruno, Pierangela (57204831815); Macrì, Megan (59502225800); Dodaro, Carmine (57196167897)</t>
  </si>
  <si>
    <t>57204831815; 59502225800; 57196167897</t>
  </si>
  <si>
    <t>A Dual-stage Deep Learning Framework for Breast Ultrasound Image Segmentation and Classification</t>
  </si>
  <si>
    <t>Journal of Medical Systems</t>
  </si>
  <si>
    <t>10.1007/s10916-025-02298-6</t>
  </si>
  <si>
    <t>https://www.scopus.com/inward/record.uri?eid=2-s2.0-105022110315&amp;doi=10.1007%2Fs10916-025-02298-6&amp;partnerID=40&amp;md5=fdf81b1ce7c9bd3dae37491ee0fe3396</t>
  </si>
  <si>
    <t>Read</t>
  </si>
  <si>
    <t>7th International Conference on Emerging Applications of Information Technology, EAIT 2022</t>
  </si>
  <si>
    <t>https://www.scopus.com/inward/record.uri?eid=2-s2.0-85161397779&amp;partnerID=40&amp;md5=825b7662f9eaffc00460cb0eda33583b</t>
  </si>
  <si>
    <t>Deep Learning methods have become a powerful tool in medical imaging, with great potential to improve diagnostic accuracy and support early disease detection. This is especially critical for breast cancer, one of the most common cancers among women, where early detection of abnormal tissue is crucial to improving survival rates. In this paper, we explore the application of Deep Learning techniques to segment and classify breast masses as malignant or benign using ultrasound images, aiming to support breast cancer diagnosis. We propose a modular dual-stage pipeline that first segments suspicious regions and then classifies them into benign or malignant categories. The framework is designed to flexibly integrate different backbone architectures, allowing adaptation to task- or dataset-specific requirements. Experimental results show that, within this pipeline, DeepLabV3+ with a ResNet34 encoder provided the most accurate segmentation, while lightweight classifiers such as MobileNetV3-Small and EfficientNet-B0 yielded the best classification performance. Moreover, an ablation study was conducted to tune parameters and determine their optimal configuration. Finally, our approach was tested on two breast ultrasound datasets, and the results show promising improvements in diagnostic accuracy, demonstrating the potential of our method to enhance early breast cancer detection. © The Author(s) 2025.</t>
  </si>
  <si>
    <t>Breast cancer; Classification; Deep learning; Segmentation</t>
  </si>
  <si>
    <t>adult; aged; Article; benign breast tumor; breast cancer; cancer classification; cancer diagnosis; convolutional neural network; deep learning; diagnostic accuracy; diagnostic test accuracy study; echomammography; female; human; image analysis; image processing; image quality; image segmentation; major clinical study; radiodiagnosis; residual neural network; stochastic gradient descent; breast tumor; computer assisted diagnosis; diagnostic imaging; early cancer diagnosis; procedures; Breast Neoplasms; Deep Learning; Early Detection of Cancer; Female; Humans; Image Interpretation, Computer-Assisted; Image Processing, Computer-Assisted; Ultrasonography, Mammary</t>
  </si>
  <si>
    <t>All Open Access; Green Accepted Open Access; Green Open Access; Hybrid Gold Open Access</t>
  </si>
  <si>
    <t>2-s2.0-105022110315</t>
  </si>
  <si>
    <t>Sharma, S.; Singh, Y.; Choudhury, T.</t>
  </si>
  <si>
    <t>Sharma, Shubhi (56039457700); Singh, Yeshwant (57226757632); Choudhury, Tanupriya (57193140084)</t>
  </si>
  <si>
    <t>56039457700; 57226757632; 57193140084</t>
  </si>
  <si>
    <t>Advanced deep learning architectures for enhanced mammography classification: a comparative study of CNNs and ViT</t>
  </si>
  <si>
    <t>Discover Artificial Intelligence</t>
  </si>
  <si>
    <t>10.1007/s44163-025-00426-2</t>
  </si>
  <si>
    <t>https://www.scopus.com/inward/record.uri?eid=2-s2.0-105011980779&amp;doi=10.1007%2Fs44163-025-00426-2&amp;partnerID=40&amp;md5=5f52582615f6c57adb38dd8ee9ff5312</t>
  </si>
  <si>
    <t>Overlap</t>
  </si>
  <si>
    <t>Li, Y.; Mercan, E.; Knezevitch, S.; Elmore, J.G.; Shapiro, L.G.</t>
  </si>
  <si>
    <t>Breast cancer is a leading cause of mortality among women worldwide, and early detection via mammography is critical for improving patient outcomes. In this study, we conduct a comprehensive comparative analysis of 15 state-of-the-art deep learning models including both general-purpose (e.g., ResNet50, ConvNeXt, ViT) and mammogram-specific architectures (e.g., FCCS-Net, ViT-Mammo, GLAM-Net) for breast cancer classification using mammographic images. Leveraging four publicly available datasets, we evaluate all models using a unified and reproducible pipeline under standardized training protocols. Beyond traditional performance metrics, our multi-dimensional assessment includes interpretability via Grad-CAM and attention maps, calibration reliability, inference time, model complexity, and deployment feasibility. Our findings highlight the superior diagnostic accuracy and visual interpretability of mammogram-specific models, particularly FCCS-Net and ViT-Mammo, with ViT-Mammo achieving an AUC of 0.961. Lightweight architectures such as EfficientNetB0 and DenseNet121 demonstrate strong potential for edge deployment due to their efficiency and competitive accuracy. The study further explores model robustness across datasets, calibration reliability, and real-time deployment constraints, offering actionable insights for clinical integration of AI-driven diagnostic tools. This work provides a valuable benchmarking framework and paves the way for the development of interpretable, efficient, and clinically viable AI systems for breast cancer screening. © The Author(s) 2025.</t>
  </si>
  <si>
    <t>Breast cancer detection; Computer-aided diagnosis (CAD) systems; Convolutional neural Networks (CNN); Deep learning; Mammography classification; Vision transformer (ViT)</t>
  </si>
  <si>
    <t>Calibration; Classification (of information); Computer aided diagnosis; Convolutional neural networks; Deep neural networks; Diseases; Learning systems; X ray screens; Breast cancer detection; Comparatives studies; Computer aided diagnosis systems; Convolutional neural network; Deep learning; Interpretability; Learning architectures; Mammography classification; Vision transformer; Mammography</t>
  </si>
  <si>
    <t>All Open Access; Gold Open Access</t>
  </si>
  <si>
    <t>2-s2.0-105011980779</t>
  </si>
  <si>
    <t>Lalithakumari, S.; Danasegaran, S.K.; Pandian, R.; Rajalakshmi, G.; Aadithiya, B.N.</t>
  </si>
  <si>
    <t>Lalithakumari, S. (55440772000); Danasegaran, Sathish Kumar (57219112828); Pandian, Ramanathan (56704782900); Rajalakshmi, G. (56579326700); Aadithiya, B. Neeththi (59949753100)</t>
  </si>
  <si>
    <t>55440772000; 57219112828; 56704782900; 56579326700; 59949753100</t>
  </si>
  <si>
    <t>Efficient and Accurate Mitosis Detection A Lightweight RCNN Approach</t>
  </si>
  <si>
    <t>Investigation of Octuplet Patch Terahertz Antenna for the Application of Breast Cancer Detection</t>
  </si>
  <si>
    <t>Sensing and Imaging</t>
  </si>
  <si>
    <t>10.1007/s11220-025-00587-5</t>
  </si>
  <si>
    <t>https://www.scopus.com/inward/record.uri?eid=2-s2.0-105005510803&amp;doi=10.1007%2Fs11220-025-00587-5&amp;partnerID=40&amp;md5=c193a65c15ade945295c767273cf8b6c</t>
  </si>
  <si>
    <t>https://www.scopus.com/inward/record.uri?eid=2-s2.0-85052023801&amp;doi=10.5220%2F0006550700690077&amp;partnerID=40&amp;md5=a8da73e482f17fc0f87fdf61f24d2a82</t>
  </si>
  <si>
    <t>ICIAI 2023 - 7th International Conference on Innovation in Artificial Intelligence</t>
  </si>
  <si>
    <t>https://www.scopus.com/inward/record.uri?eid=2-s2.0-85168921202&amp;partnerID=40&amp;md5=b0f7b1d94443d41f6f82fbda63f1c53d</t>
  </si>
  <si>
    <t>Breast cancer is the most prevalent type of cancer in women overall. Out of an estimated 2.3 million new cases worldwide in 2022, 670,000 women died from breast cancer. Around the world, one woman is diagnosed with breast cancer every fourteen seconds. Many lives are saved when cancer cells are discovered early. This work explores the novel octuplet-shaped Terahertz (THz) patch antenna for tumor detection in a breast phantom. The investigation started with octuplet antenna characteristics with various design steps using the CST tool. Further, the breast phantom is modeled with the proposed octuplet patch structure and analyze the performances. The breast model is classified into four quadrants and the tumor is placed in the different quadrants. Based on the antenna characteristics, the location of the tumor is detected. Also, the tumor size is optimized for various sizes and compare the performance. The suggested octuplet patch antenna (OPA) resonated in the THz frequency range, which is safer and has no effect on human health because it lacks ionizing properties. Particularly in places with limited resources, the patch structure that has been proposed is small, less costly, lightweight, environmentally safe, and can be used as the primary method of screening for breast cancer. © The Author(s), under exclusive licence to Springer Science+Business Media, LLC, part of Springer Nature 2025.</t>
  </si>
  <si>
    <t>Breast cancer; Octuplet patch antenna; Terahertz frequency; Tumour cells</t>
  </si>
  <si>
    <t>Antenna characteristics; Breast Cancer; Breast cancer detection; Breast phantom; Octuplet patch antenna; Patch structure; Performance; Terahertz antennas; Terahertz frequencies; Tumour cells; Diseases</t>
  </si>
  <si>
    <t>2-s2.0-105005510803</t>
  </si>
  <si>
    <t>Alkhazaali, A.A.T.; Ahmed, J.I.; Alansari, S.Z.A.; Mohammed, H.C.; Amanah, L.N.</t>
  </si>
  <si>
    <t>Alkhazaali, Ahmed Ali Talib (60149792600); Ahmed, Jasim Ibrahim (60150141400); Alansari, Saif Z.Abudulmajeed (60150378600); Mohammed, Hanan Chassab (60150022000); Amanah, Luay Naser (60149668000)</t>
  </si>
  <si>
    <t>60149792600; 60150141400; 60150378600; 60150022000; 60149668000</t>
  </si>
  <si>
    <t>TC-XGBoost: Efficient Feature Selection Method using Tetrachoric Correlation with Machine Learning Classifiers for Enhanced Breast Cancer Diagnosis</t>
  </si>
  <si>
    <t>International Journal of Intelligent Engineering and Systems</t>
  </si>
  <si>
    <t>10.22266/ijies2025.1130.51</t>
  </si>
  <si>
    <t>https://www.scopus.com/inward/record.uri?eid=2-s2.0-105019357660&amp;doi=10.22266%2Fijies2025.1130.51&amp;partnerID=40&amp;md5=3dae90700e7ba2b83aedcde89df638c7</t>
  </si>
  <si>
    <t>Huang J.; Mei L.; Long M.; Liu Y.; Sun W.; Li X.; Shen H.; Zhou F.; Ruan X.; Wang D.; Wang S.; Hu T.; Lei C.</t>
  </si>
  <si>
    <t>BM-Net: CNN-Based MobileNet-V3 and Bilinear Structure for Breast Cancer Detection in Whole Slide Images</t>
  </si>
  <si>
    <t>https://www.scopus.com/inward/record.uri?eid=2-s2.0-85132930127&amp;doi=10.3390%2fbioengineering9060261&amp;partnerID=40&amp;md5=7dd46f2cb9d6782eff208e64727767b4</t>
  </si>
  <si>
    <t>This study introduces an innovative feature selection method grounded in Tetrachoric Correlation (TC) to improve the accuracy and efficiency of breast cancer classification systems. Conventional techniques such as Information Gain and Pearson Correlation Coefficient (PCC) non-linear and hidden relationships between features and target labels are often overlooked by these methods. In contrast, the proposed TC-based method evaluates hidden binary correlations, allowing the identification of key features for classification. Then wrought with four machine learning models-XGBoost, Naive Bayes (NB), Logistic Regression (LR), and Random Forests (RF), these final features were used to demonstrate that the proposed method outperformed the existing models on the Wisconsin Diagnostic Breast Cancer (WDBC) dataset. The TC-XGBoost model was found to be very effective, achieving an accuracy of 99.12% on the WDBC breast cancer dataset-which was an improvement over the baseline XGBoost accuracy of 94.74%, without the use of any feature selection. The TC method also pruned the original 30 features down to just 9, or a 70% decrease in dimensionality, which decreased execution time by more than 45%, thus enhancing computational efficiency without sacrificing accuracy. With effective performance, reduced feature set, low runtime cost, the TC-based framework is an attractive lightweight diagnostic tool for early breast cancer detection, particularly for resource-limited clinical environments or real-time applications. © This article is licensed under a Creative Commons Attribution-ShareAlike 4.0 International License. License details: https://creativecommons.org/licenses/by-sa/4.0/</t>
  </si>
  <si>
    <t>Breast cancer diagnosis; Feature selection; Machine learning Classifiers; Tetrachoric correlation</t>
  </si>
  <si>
    <t>All Open Access; Bronze Open Access</t>
  </si>
  <si>
    <t>2-s2.0-105019357660</t>
  </si>
  <si>
    <t>He, X.; Yan, Y.; Wang, M.; Cai, R.; Ma, J.; Cai, X.; Tong, Y.</t>
  </si>
  <si>
    <t>He, Xu (60110221500); Yan, Yu (57204775460); Wang, Man (59737813400); Cai, Runqiu (57192552912); Ma, Jingwu (59737463800); Cai, Xiaowei (57204773453); Tong, Ying (56222364400)</t>
  </si>
  <si>
    <t>60110221500; 57204775460; 59737813400; 57192552912; 59737463800; 57204773453; 56222364400</t>
  </si>
  <si>
    <t>MambaCA-Net: a hybrid dual-stream architecture integrating temporal and spatial features for breast ultrasound analysis</t>
  </si>
  <si>
    <t>Signal, Image and Video Processing</t>
  </si>
  <si>
    <t>10.1007/s11760-025-04756-7</t>
  </si>
  <si>
    <t>https://www.scopus.com/inward/record.uri?eid=2-s2.0-105016833147&amp;doi=10.1007%2Fs11760-025-04756-7&amp;partnerID=40&amp;md5=96abb2897be485d5ba9f9e44f80a0a2f</t>
  </si>
  <si>
    <t>The analysis of breast cancer images includes the detection of mitotic figures whose counting is important in the grading of invasive breast cancer. Mitotic figures are difficult to find in the very large whole slide images, as they may look only slightly different from normal nuclei. In the last few years, several convolutional neural network (CNN) systems have been developed for mitosis detection that are able to beat conventional, feature-based approaches. However, these networks contain many layers and many neurons per layer, so both training and actual classification require powerful computers with GPUs. In this paper, we describe a new lightweight region-based CNN methodology we have developed that is able to run on standard machines with only a CPU and can achieve accuracy measures that are almost as good as the best CNN-based system so far in a fraction of the time, when both are run on CPUs. Our system, which includes a feature-based region extractor plus two CNN stages, is tested on the ICPR 2012 and ICPR 2014 datasets, and results are given for accuracy and timing. © © 2018 by SCITEPRESS – Science and Technology Publications, Lda. All rights reserved</t>
  </si>
  <si>
    <t>Oliveira, H.S.; Teixeira, J.F.; Oliveira, H.P.</t>
  </si>
  <si>
    <t>Lightweight deep learning pipeline for detection, segmentation and classification of breast cancer anomalies</t>
  </si>
  <si>
    <t>Gnanaprakash V.; Shoukath Ali K.; Preethi D.; Saranya N.; Nivetitha R.K.</t>
  </si>
  <si>
    <t>https://www.scopus.com/inward/record.uri?eid=2-s2.0-85072901730&amp;doi=10.1007%2F978-3-030-30645-8_64&amp;partnerID=40&amp;md5=9f19b44d7075729e35846cda32bbe51b</t>
  </si>
  <si>
    <t>https://www.scopus.com/inward/record.uri?eid=2-s2.0-85187778482&amp;doi=10.1109%2fICDSAAI59313.2023.10452524&amp;partnerID=40&amp;md5=15e070251fbee1f33a5518bfa483ca5a</t>
  </si>
  <si>
    <t>In recent years, deep learning algorithms have been extensively examined as tools to assist ultrasound physicians by reducing diagnostic challenges. During practical ultrasound examinations, doctors frequently observe dynamic ultrasound video sequences. In contrast to static ultrasound scans, dynamic imaging offers enhanced information regarding malignancies, facilitating more precise diagnoses. In tumor research, ultrasound professionals employ two fundamental modes: one emphasizes specific areas in static ultrasound images, while the other analyzes temporal connections between successive frames in ultrasound videos. The backbone of MambaCA-Net has two components: the Single-frame Image Stream (SIS) for static ultrasound characteristics and the Continuous-frame Video Stream (CVS) for dynamic ultrasound characteristics. Our model was evaluated using a breast ultrasound dataset including 248 patients and 35,642 images. The backbone of MambaCA-Net consists of two components: the Single-frame Image Stream (SIS) for static ultrasound characteristics and the Continuous-frame Video Stream (CVS) for dynamic ultrasound characteristics. We evaluated our model using a breast ultrasound dataset including 248 patients and 35,642 images. The findings indicate that MambaCA-Net achieves an accuracy of 86.21% and an AUC of 93%. Moreover, we demonstrate that including the CVS enhanced model accuracy by 1.84%. Our data indicate that MambaCA-Net shows significant potential for breast cancer detection. Its lightweight architecture and robust feature extraction capabilities render it optimal for breast cancer diagnostic tasks, even in environments with limited computational resources. © The Author(s), under exclusive licence to Springer-Verlag London Ltd., part of Springer Nature 2025.</t>
  </si>
  <si>
    <t>Breast Tumor; Breast Ultrasound Video; CrossAttention; Mamba; Temporal Domain</t>
  </si>
  <si>
    <t>Deep learning; Diagnosis; Diseases; Learning algorithms; Medical imaging; Ultrasonic imaging; Ultrasonics; Video recording; Video streaming; Breast tumour; Breast ultrasound; Breast ultrasound video; Continuous frames; Crossattention; Mamba; Single frame image; Temporal domain; Two-component; Ultrasound videos; Tumors</t>
  </si>
  <si>
    <t>2-s2.0-105016833147</t>
  </si>
  <si>
    <t>Jalalian, K.; Hosseini, G.; Ghiasi, R.; Bosaghzadeh, A.</t>
  </si>
  <si>
    <t>Jalalian, Kimia (59001814300); Hosseini, Golnaz (59001622400); Ghiasi, Razieh (57219760389); Bosaghzadeh, Alireza (48860926100)</t>
  </si>
  <si>
    <t>59001814300; 59001622400; 57219760389; 48860926100</t>
  </si>
  <si>
    <t>Enhancing Breast Cancer Segmentation in Mammography with UNet++ - Deep Learning Approach</t>
  </si>
  <si>
    <t>Frontiers in Biomedical Technologies</t>
  </si>
  <si>
    <t>10.18502/fbt.v12i4.19818</t>
  </si>
  <si>
    <t>https://www.scopus.com/inward/record.uri?eid=2-s2.0-105018924761&amp;doi=10.18502%2Ffbt.v12i4.19818&amp;partnerID=40&amp;md5=d22c20f3da9023d65fb449cfadb8c57e</t>
  </si>
  <si>
    <t>Downloaded/read</t>
  </si>
  <si>
    <t>Purpose: Manually segmenting mammograms is time-consuming and subjective. Therefore, automatic segmentation of breast masses is necessary but poses significant challenges due to factors such as low signal-to-noise ratio, diverse mass shapes and sizes, varying contrast levels, and high false positive rates. To address these challenges, we have developed an automatic image segmentation method based on a comprehensive preprocessing pipeline. Materials and Methods: Our proposed method consists of two phases: 1) the pre-processing phase, which includes denoising, contrast enhancement, image cropping, resizing, and augmentation of mammograms, and 2) the model design phase, where UNet++ is employed as an encoder-decoder-based network for segmenting breast masses. The encoder captures relevant information from various regions in the input image, while the decoder reconstructs the spatial location of the target region. We conducted extensive experiments on publicly available CBIS-DDSM and INbreast datasets to evaluate the performance of our proposed method. For a comprehensive assessment, we utilized evaluation metrics including Precision, True Positive Rate, Dice Score Coefficient, and Jaccard Index. Additionally, a confusion matrix was employed to evaluate segmentation accuracy, while violin plots depicted the distribution of results across different BI-RADS and ACR categories. Results: Based on our findings, our proposed method demonstrates promising results with a precision rate of 92.33%, a True Positive Rate of 93.83%, a Dice Score Coefficient measuring 92.92%, and a Jaccard Index of 87.05% in the CBIS-DDSM dataset. Furthermore, to assess the generalizability of our proposed method, the INbreast dataset was used as an unseen test set. The results demonstrate a precision rate of 91.15%, a True positive rate of 91.15%, a Dice Score coefficient of 92.53%, and a Jaccard Index of 87.25%, indicating robust performance on data outside the training distribution. Conclusion: The integration of UNet++ with a pre-processing pipeline in digital mammography has shown promising results in accurately segmenting breast masses. This method has the potential to significantly improve early breast cancer detection and reduce diagnostic errors in clinical practice while employing a relatively lightweight model. © © 2025 Tehran University of Medical Sciences. This work is licensed under a Creative Commons Attribution-NonCommercial 4.0 International license (https://creativecommons.org/licenses/by-nc/4.0/). Noncommercial uses of the work are permitted, provided the original work is properly cited.</t>
  </si>
  <si>
    <t>Laxmisagar H.S.; Hanumantharaju M.C.</t>
  </si>
  <si>
    <t>Breast Cancer; Deep Learning; Digital Mammography; Semantic Segmentation; UNet++</t>
  </si>
  <si>
    <t>Design of an Efficient Deep Neural Network for Multi-level Classification of Breast Cancer Histology Images</t>
  </si>
  <si>
    <t>accuracy; Article; breast cancer; breast imaging reporting and data system; calcification; clinical feature; clinical practice; comparative study; confusion matrix; contrast limited adaptive histogram equalization approach; deep learning; digital mammography; histogram; human; image segmentation; mammography; mathematical analysis; mean squared error; outcome assessment; signal noise ratio; spatial analysis; UNet++ - deep learning; validation process</t>
  </si>
  <si>
    <t>https://www.scopus.com/inward/record.uri?eid=2-s2.0-85092725831&amp;doi=10.1007%2f978-981-15-5566-4_40&amp;partnerID=40&amp;md5=b3ccc7336488812edaeafcdcd3e7fa46</t>
  </si>
  <si>
    <t>2-s2.0-105018924761</t>
  </si>
  <si>
    <t>Romero-Carmona, A.P.; Rangel-Magdaleno, J.J.; Renero-Carrillo, F.J.; Ramírez Cortés, J.M.; Peregrina-Barreto, H.</t>
  </si>
  <si>
    <t>Romero-Carmona, Ana P. (59670221800); Rangel-Magdaleno, Jose De Jesus (57216648535); Renero-Carrillo, Francisco Javier R. (6602274137); Ramírez Cortés, Juan Manuel (55989706100); Peregrina-Barreto, Hayde (36020507800)</t>
  </si>
  <si>
    <t>59670221800; 57216648535; 6602274137; 55989706100; 36020507800</t>
  </si>
  <si>
    <t>Lightweight Statistical and Texture Feature Approach for Breast Thermogram Analysis †</t>
  </si>
  <si>
    <t>Journal of Imaging</t>
  </si>
  <si>
    <t>10.3390/jimaging11100358</t>
  </si>
  <si>
    <t>https://www.scopus.com/inward/record.uri?eid=2-s2.0-105020016478&amp;doi=10.3390%2Fjimaging11100358&amp;partnerID=40&amp;md5=7f946f46daea421a7cf698adf3a6c0eb</t>
  </si>
  <si>
    <t>The small amount of public available medical images hinders the use of deep learning techniques for mammogram automatic diagnosis. Deep learning methods require large annotated training sets to be effective, however medical datasets are costly to obtain and suffer from large variability. In this work, a lightweight deep learning pipeline to detect, segment and classify anomalies in mammogram images is presented. First, data augmentation using the ground-truth annotation is performed and used by a cascade segmentation and classification methods. Results are obtained using the INbreast public database in the context of lesion detection and BI-RADS classification. Moreover, a pre-trained Convolutional Neural Network using ResNet50 is modified to generate the lesion regions proposals followed by a false positive reduction and contour refinement stages while a pre-trained VGG16 network is fine-tuned to classify mammograms. The detection and segmentation stage results show that the cascade configuration achieves a DICE of 0.83 without massive training while the multi-class classification exhibits an MAE of 0.58 with data augmentation. © Springer Nature Switzerland AG 2019.</t>
  </si>
  <si>
    <t>Elbashir, M.K.; Ezz, M.; Mohammed, M.; Saloum, S.S.</t>
  </si>
  <si>
    <t>Lightweight convolutional neural network for breast cancer classification using RNA-Seq gene expression data</t>
  </si>
  <si>
    <t>https://www.scopus.com/inward/record.uri?eid=2-s2.0-85077964825&amp;doi=10.1109%2FACCESS.2019.2960722&amp;partnerID=40&amp;md5=67da4ac6fe40be475c395aa316fdb2fe</t>
  </si>
  <si>
    <t>Breast cancer is the most commonly diagnosed cancer in women globally and represents the leading cause of mortality related to malignant tumors. Currently, healthcare professionals are focused on developing and implementing innovative techniques to improve the early detection of this disease. Thermography, studied as a complementary method to traditional approaches, captures infrared radiation emitted by tissues and converts it into data about skin surface temperature. During tumor development, angiogenesis occurs, increasing blood flow to support tumor growth, which raises the surface temperature in the affected area. Automatic classification techniques have been explored to analyze thermographic images and develop an optimal classification tool to identify thermal anomalies. This study aims to design a concise description using statistical and texture features to accurately classify thermograms as control or highly probable to be cancer (with thermal anomalies). The importance of employing a short description lies in facilitating interpretation by medical professionals. In contrast, a characterization based on a large number of variables could make it more challenging to identify which values differentiate the thermograms between groups, thereby complicating the explanation of results to patients. A maximum accuracy of 91.97% was achieved by applying only seven features and using a Coarse Decision Tree (DT) classifier and robust Machine Learning (ML) model, which demonstrated competitive performance compared with previously reported studies. © 2025 by the authors.</t>
  </si>
  <si>
    <t>breast cancer; image classification; machine learning; thermography</t>
  </si>
  <si>
    <t>Classification (of information); Diseases; Image analysis; Infrared radiation; Medical imaging; Surface properties; Temperature measuring instruments; Textures; Tumors; Breast Cancer; Health care professionals; Images classification; Innovative techniques; Machine-learning; Malignant tumors; Statistical features; Texture features; Thermal anomalies; Thermography; Image classification; Thermography (imaging); Thermography (temperature measurement)</t>
  </si>
  <si>
    <t>2-s2.0-105020016478</t>
  </si>
  <si>
    <t>Dahham, A.A.; Ahmed, W.K.; Hussein, R.N.; Mohammad, A.T.</t>
  </si>
  <si>
    <t>Dahham, Abbas Abdulhussin (60220865700); Ahmed, Waleed Khalid (60221144400); Hussein, Rajaa Nori (60188819100); Mohammad, Ayas Talib (60149464900)</t>
  </si>
  <si>
    <t>60220865700; 60221144400; 60188819100; 60149464900</t>
  </si>
  <si>
    <t>A New Deep Model Structure with Two Phased Feature Selection for Disease Diagnosis in Smart Healthcare Systems</t>
  </si>
  <si>
    <t>10.22266/ijies2025.0930.19</t>
  </si>
  <si>
    <t>https://www.scopus.com/inward/record.uri?eid=2-s2.0-105023568411&amp;doi=10.22266%2Fijies2025.0930.19&amp;partnerID=40&amp;md5=18a6d1fa25b6bcea3d40e4469c02b0db</t>
  </si>
  <si>
    <t>Ref:35</t>
  </si>
  <si>
    <t>14th Mexican Conference on Pattern Recognition, MCPR 2022</t>
  </si>
  <si>
    <t>https://www.scopus.com/inward/record.uri?eid=2-s2.0-85133002409&amp;partnerID=40&amp;md5=4cd265e78079bd54e50202f6c6364fb5</t>
  </si>
  <si>
    <t>Gene expressions are considered among the most used features in cancer classification. The available gene expression data has a small number of samples and a relatively big number of dimensions, and that makes it not suitable for deep Convolutional Neural Networks (CNN) architectures, which exhibit state-of-the-art performance in many fields. In this paper, we propose a lightweight CNN architecture for breast cancer classification using gene expression data downloaded from Pan-Cancer Atlas using 'Illumina HiSeq' platform. The downloaded gene expression data is preprocessed and then transformed into 2D-images. We started the preprocessing by removing the outlier samples, which are determined based on the Array-Array Intensity Correlation (AAIC), which defines a symmetric square matrix of Spearman correlation. Then we applied a normalization process on the gene expression data to ensure that we can infer the expression level from it correctly and avoid biases in the expression measures. Finally, filtering is applied on the data. Model selection or a parameters search strategy is conducted to choose the values of the CNN hyper-parameters that give optimal performance. Our experiments show that our proposed method achieves an accuracy of 98.76%, which is the highest compared to other competing methods. © 2013 IEEE.</t>
  </si>
  <si>
    <t>Abdelli, A.; Saouli, R.; Djemal, K.; Youkana, I.</t>
  </si>
  <si>
    <t>Combined Datasets for Breast Cancer Grading Based on Multi-CNN Architectures</t>
  </si>
  <si>
    <t>Increased incidence of different diseases requires precise and efficient multi-diseases diagnostic systems. Traditional methods are dependent upon manual interpretation and hand-crafted features and are time-consuming and prone to errors. Deep learning improves disease detection, but problems such as high dimensionality, overfitting, and computational complexity limit its applicability within IoT-based healthcare. To resolve these challenges, this work introduces a hybrid deep learning-based method for automatic multi-disease detection. The approach integrates Convolutional Neural Networks (CNN) and Attention-based Long Short-Term Memory (LSTM) networks to extract spatial and temporal features from medical data. A two-stage feature selection process is implemented, where Principal Component Analysis (PCA) reduces dimensionality, and the Grasshopper Optimization Algorithm (GOA) selects the most informative features. For classification, the J48 Decision Tree is employed, ensuring interpretable and computationally efficient decision-making. Experimental results validate that the proposed method significantly enhances classification accuracy, reduces computational complexity, and improves model generalization compared to existing approaches. Using 10-fold cross-validation, the method achieved accuracies of 97.02%, 98.91%, 95.17%, and 97.99% for breast cancer, heart disease, Parkinson’s disease, and thyroid disease, respectively. The lightweight model is particularly well-suited for real-time disease detection in IoT-based healthcare applications. © This article is licensed under a Creative Commons Attribution-ShareAlike 4.0 International License. License details: https://creativecommons.org/licenses/by-sa/4.0/</t>
  </si>
  <si>
    <t>Deep learning; Filter-wrapper feature selection; IoT-based healthcare; Multi-disease detection</t>
  </si>
  <si>
    <t>https://www.scopus.com/inward/record.uri?eid=2-s2.0-85099272967&amp;doi=10.1109%2FIPTA50016.2020.9286653&amp;partnerID=40&amp;md5=2fbf0269703a803895ed30d3b9deaa9e</t>
  </si>
  <si>
    <t>2-s2.0-105023568411</t>
  </si>
  <si>
    <t>Liu, H.; Chen, X.; Zhang, W.; Yao, W.; Xu, S.</t>
  </si>
  <si>
    <t>Liu, Huangchi (60103679600); Chen, Xiaoxiao (60103579200); Zhang, Wenqian (59341167600); Yao, Wei (58588622100); Xu, Shengzhou (36605404000)</t>
  </si>
  <si>
    <t>60103679600; 60103579200; 59341167600; 58588622100; 36605404000</t>
  </si>
  <si>
    <t>AE-YOLO: Feature Focus Enhancement for Breast Mass Detection</t>
  </si>
  <si>
    <t>International Journal of Imaging Systems and Technology</t>
  </si>
  <si>
    <t>e70205</t>
  </si>
  <si>
    <t>10.1002/ima.70205</t>
  </si>
  <si>
    <t>https://www.scopus.com/inward/record.uri?eid=2-s2.0-105016355222&amp;doi=10.1002%2Fima.70205&amp;partnerID=40&amp;md5=a0fd8fad7c8454d4332707dbcf052d09</t>
  </si>
  <si>
    <t>Chaudhury S.; Sau K.; Khan M.A.; Shabaz M.</t>
  </si>
  <si>
    <t>Deep transfer learning for IDC breast cancer detection using fast AI technique and Sqeezenet architecture</t>
  </si>
  <si>
    <t>https://www.scopus.com/inward/record.uri?eid=2-s2.0-85152938328&amp;doi=10.3934%2fmbe.2023457&amp;partnerID=40&amp;md5=d0801ae75f77a92c0e15c119f9745a3d</t>
  </si>
  <si>
    <t>Mammography remains the primary imaging modality for early breast-cancer screening. However, small mass size, irregular shape, and complex background tissue often limit the sensitivity and precision of computer-aided detection systems. In this work, we propose AE-YOLO, a novel enhancement of the YOLOv8 framework incorporating two key modules: aggregated dynamic convolution (ADC), which dynamically adapts convolutional weights across kernel, input-channel, and output-channel dimensions to strengthen feature extraction, and a visual enhancement block (VEB) comprising a lightweight transformer-based unit (TFormer) for global context capture and a feature reconstruction center (FRC) to suppress redundancy and refine mass features. Experiments on two public mammography datasets (DDSM and MIAS) demonstrate that AE-YOLO achieves a precision of 85.0%, recall of 77.2%, mAP50 of 84.9%, and mAP50:95 of 48.4%, outperforming current state-of-the-art models. Moreover, the proposed ADC and VEB modules are agnostic to network backbone and image source—they can be seamlessly integrated into other mammographic detection pipelines (e.g., INbreast) and consistently improve mass-detection performance across datasets and resolutions. © 2025 Wiley Periodicals LLC.</t>
  </si>
  <si>
    <t>AE-YOLO; aggregated dynamic convolution; mammography; mass detection; visual enhancement block</t>
  </si>
  <si>
    <t>Computer aided diagnosis; Convolution; Feature extraction; Image enhancement; AE-YOLO; Aggregated dynamic convolution; Aggregated dynamics; Breast cancer screening; Breast mass detection; Early breast cancer; Imaging modality; Mass detection; Mass size; Visual enhancement block; Mammography</t>
  </si>
  <si>
    <t>Pramanik R., Pramanik P., Sarkar R.</t>
  </si>
  <si>
    <t>2-s2.0-105016355222</t>
  </si>
  <si>
    <t>Breast cancer detection in thermograms using a hybrid of GA and GWO based deep feature selection method</t>
  </si>
  <si>
    <t>Mustafa, M.A.; Erdem, O.A.; Söğüt, E.</t>
  </si>
  <si>
    <t>Mustafa, Maral A. (57218278059); Erdem, O. Ayhan (8339453400); Söğüt, Esra (57215336539)</t>
  </si>
  <si>
    <t>57218278059; 8339453400; 57215336539</t>
  </si>
  <si>
    <t>Hybrid Optimization and Explainable Deep Learning for Breast Cancer Detection</t>
  </si>
  <si>
    <t>Applied Sciences (Switzerland)</t>
  </si>
  <si>
    <t>10.3390/app15158448</t>
  </si>
  <si>
    <t>https://www.scopus.com/inward/record.uri?eid=2-s2.0-105013145996&amp;doi=10.3390%2Fapp15158448&amp;partnerID=40&amp;md5=f0e89d193defc6aafe1d65b5f99dca98</t>
  </si>
  <si>
    <t>Breast cancer is the most leading cancer among women. Usually, pathologists have to examine the histological image slides through the whole slides tissues in different magnifications, to extract the tumor malignancy then the tumor grade. These image's interpretation is one of the time and effort consuming task to define an accurate diagnosis. Consequently, Computer-Aided Diagnosis (CAD) systems are highly demanded. However, the histological images have pervasive variability, which is a big challenge due to the variation of tissue textures and which is hard to be interpreted by the computer. For this, deep learning algorithms have been promised architectures for complex objects, but the problem of the low resource of datasets is still yet a constraint to build an efficient medical system for image classification. In this work, we propose a solution based on combining two different datasets for breast cancer grade detection. Our proposed method is about adding a new class (grade 0) to the three known classes of breast cancer grades, which make our model detect both the malignancy and the grade of the breast tumors. Furthermore, both datasets images have the same magnification factor which helps our models in avoiding overfitting problems. Our models are trained using two different convolutional neural network architectures, the ResNet50 and the MobileNet for comparing between a lightweight and heavyweight architectures. The obtained results show the best accuracy in the state-of-the-art. © 2020 IEEE.</t>
  </si>
  <si>
    <t>Singh S., Arshid N., Cinti S.</t>
  </si>
  <si>
    <t>Zhang, X.; Lin, X.; Zhang, Z.; Dong, L.; Sun, X.; Sun, D.; Yuan, K.</t>
  </si>
  <si>
    <t>Electrochemical nano biosensors for the detection of extracellular vesicles exosomes: From the benchtop to everywhere?</t>
  </si>
  <si>
    <t>Artificial Intelligence Medical Ultrasound Equipment: Application of Breast Lesions Detection</t>
  </si>
  <si>
    <t>https://www.scopus.com/inward/record.uri?eid=2-s2.0-85086567155&amp;doi=10.1177%2F0161734620928453&amp;partnerID=40&amp;md5=cf1013a4a61fe2c418e678c32e1a8ca7</t>
  </si>
  <si>
    <t>Das R., Kaur K., Walia E.</t>
  </si>
  <si>
    <t>[No author name available]</t>
  </si>
  <si>
    <t>Breast cancer continues to be one of the leading causes of women’s deaths around the world, and this has emphasized the necessity to have novel and interpretable diagnostic models. This work offers a clear learning deep learning model that integrates the mobility of MobileNet and two bio-driven optimization operators, the Firefly Algorithm (FLA) and Dingo Optimization Algorithm (DOA), in an effort to boost classification appreciation and the convergence of the model. The suggested model demonstrated excellent findings as the DOA-optimized MobileNet acquired the highest performance of 98.96 percent accuracy on the fusion test, and the FLA-optimized MobileNet scaled up to 98.06 percent and 95.44 percent accuracies on mammographic and ultrasound tests, respectively. Further to good quantitative results, Grad-CAM visualizations indeed showed clinically consistent localization of the lesions, which strengthened the interpretability and model diagnostic reliability of Grad-CAM. These results show that lightweight, compact CNNs can be used to do high-performance, multimodal breast cancer diagnosis. © 2025 by the authors.</t>
  </si>
  <si>
    <t>2022 5th International Conference on Computational Intelligence and Networks, CINE 2022</t>
  </si>
  <si>
    <t>breast cancer detection; deep learning; explainable AI (XAI); Grad-CAM; optimization algorithms; transfer learning</t>
  </si>
  <si>
    <t>Ref:45</t>
  </si>
  <si>
    <t>Bioinformatics; Computer aided diagnosis; Diseases; Learning algorithms; Learning systems; Mammography; Optimization; Transfer learning; Breast Cancer; Breast cancer detection; Deep learning; Explainable AI (XAI); Firefly algorithms; Grad-CAM; Hybrid optimization; Optimization algorithms; Performance</t>
  </si>
  <si>
    <t>15th International Conference on Electronics, Computers and Artificial Intelligence, ECAI 2023 - Proceedings</t>
  </si>
  <si>
    <t>2-s2.0-105013145996</t>
  </si>
  <si>
    <t>Proceedings - 2022 International Conference on Machine Learning and Intelligent Systems Engineering, MLISE 2022</t>
  </si>
  <si>
    <t>Dalfi, M.A.H.; Châabouni, S.; Fakhfakh, A.</t>
  </si>
  <si>
    <t>Dalfi, Mustafa Ali Hasan (60094416500); Châabouni, Sihem (36650388400); Fakhfakh, Ahmed (13204730400)</t>
  </si>
  <si>
    <t>https://www.scopus.com/inward/record.uri?eid=2-s2.0-85168135808&amp;partnerID=40&amp;md5=4a0fd9326cdc3d557756a1486b1692eb</t>
  </si>
  <si>
    <t>Kim S., Yoon K.</t>
  </si>
  <si>
    <t>60094416500; 36650388400; 13204730400</t>
  </si>
  <si>
    <t>Deep and lightweight neural network for histopathological image classification</t>
  </si>
  <si>
    <t>Efficient and Lightweight Block-Based Feature Selection Approach Using Dice Coefficient with Machine Learning for Accurate Breast Cancer Classification</t>
  </si>
  <si>
    <t>Laxmisagar H.S., Hanumantharaju M.C.</t>
  </si>
  <si>
    <t>Detection of Breast Cancer with Lightweight Deep Neural Networks for Histology Image Classification</t>
  </si>
  <si>
    <t>10.22266/ijies2025.0731.49</t>
  </si>
  <si>
    <t>https://www.scopus.com/inward/record.uri?eid=2-s2.0-105015537375&amp;doi=10.22266%2Fijies2025.0731.49&amp;partnerID=40&amp;md5=ff2ecbe48df342f3a9ffbf13d3f29220</t>
  </si>
  <si>
    <t>Chavan T., Prajapati K., Jv K.R.</t>
  </si>
  <si>
    <t>InvUNET: Involuted UNET for Breast Tumor Segmentation from Ultrasound</t>
  </si>
  <si>
    <t>Breast cancer ranks first among cancers affecting women’s health. Our work aims to realize the intelligence of the medical ultrasound equipment with limited computational capability, which is used for the assistant detection of breast lesions. We embed the high-computational deep learning algorithm into the medical ultrasound equipment with limited computational capability by two techniques: (1) lightweight neural network: considering the limited computational capability of ultrasound equipment, a lightweight neural network is designed, which greatly reduces the amount of calculation. And we use the technique of knowledge distillation to train the low-precision network helped with the high-precision network; (2) asynchronous calculations: consider four frames of ultrasound images as a group; the image of the first frame of each group is used as the input of the network, and the result is respectively fused with the images of the fourth to seventh frames. An amount of computation of 30 GFLO/frame is required for the proposed lightweight neural network, about 1/6 of that of the large high-precision network. After trained from scratch using the knowledge distillation technique, the detection performance of the lightweight neural network (sensitivity = 89.25%, specificity = 96.33%, the average precision [AP] = 0.85) is close to that of the high-precision network (sensitivity = 98.3%, specificity = 88.33%, AP = 0.91). By asynchronous calculation, we achieve real-time automatic detection of 24 fps (frames per second) on the ultrasound equipment. Our work proposes a method to realize the intelligence of the low-computation-power ultrasonic equipment, and successfully achieves the real-time assistant detection of breast lesions. The significance of the study is as follows: (1) The proposed method is of practical significance in assisting doctors to detect breast lesions; (2) our method provides some practical and theoretical support for the development and engineering of intelligent equipment based on artificial intelligence algorithms. © The Author(s) 2020.</t>
  </si>
  <si>
    <t>Laxmisagar, H.S.; Hanumantharaju, M.C.</t>
  </si>
  <si>
    <t>https://www.scopus.com/inward/record.uri?eid=2-s2.0-85092725831&amp;doi=10.1007%2F978-981-15-5566-4_40&amp;partnerID=40&amp;md5=6e196fdf9fa7acea758ac1273180ebe7</t>
  </si>
  <si>
    <t>Moussa M.N., Madi M.A., Kabalan K.Y.</t>
  </si>
  <si>
    <t>Miniaturized Inward Fractal Antenna for Breast Cancer Detection</t>
  </si>
  <si>
    <t>Ahmad B., Jun S., Li J., Lidan B.</t>
  </si>
  <si>
    <t>Comparative Study of Deep Learning Models For Automatic Detection of Metastases in HE Stained Images</t>
  </si>
  <si>
    <t>When we get the full paper we shall report the accuracy in out stats</t>
  </si>
  <si>
    <t>International Conference on Evolving Technologies for Computing, Communication and Smart World, ETCCS 2020</t>
  </si>
  <si>
    <t>International Conference on Intelligent Computing and Networking, IC-ICN 2020</t>
  </si>
  <si>
    <t>Liu S., Ren J., Chen Z., Hu K., Xiao F., Li X., Gao X.</t>
  </si>
  <si>
    <t>EffiDiag: An Efficient Framework for Breast Cancer Diagnosis in Multi-Gigapixel Whole Slide Images</t>
  </si>
  <si>
    <t>Breast cancer remains one of the most prevalent and life-threatening diseases affecting women worldwide. Machine learning (ML) techniques have increasingly been recognized for their potential in achieving early and precise diagnosis. Within this context, feature selection is essential for improving classification accuracy, minimizing overfitting, and enhancing the interpretability of the models. However, many existing filter-based feature selection methods, such as Principal Component Analysis (PCA), Pearson Correlation Coefficient (PCC), and statistical scoring techniques, either rely on assumptions of linearity or retain irrelevant features. This leads to increased computational cost and suboptimal accuracy. To address these limitations, this paper proposes a lightweight feature selection approach based on the Dice Coefficient, which evaluates the similarity between each feature and the class label. The method is simple, fast, and does not require iterative model training. It introduces a block-based mechanism, where samples are grouped into blocks ranging from 2 to 10 samples each, to better capture feature-label associations and enhance selection stability. The method was evaluated using four ML classifiers: SVM, DT, KNN, and RF. The proposed approach achieved a peak accuracy of 99.12% on the Wisconsin Diagnostic Breast Cancer (WDBC) dataset, using only 12 selected features. It reduced memory usage to 14.6 MB and execution time to 1.22 seconds. Compared to using the full feature set, the method achieved up to 41.9% reduction in execution time and over 65% reduction in memory usage, without sacrificing accuracy. These results demonstrate that the Dice-based method significantly outperforms conventional filter, wrapper, and embedded methods in both accuracy and efficiency. Its high predictive performance and low computational demand make it a strong candidate for use in real-time and embedded medical diagnostic systems. © This article is licensed under a Creative Commons Attribution-ShareAlike 4.0 International License. License details: https://creativecommons.org/licenses/by-sa/4.0/</t>
  </si>
  <si>
    <t>Breast cancer detection; Dice coefficient; Filter feature selection; Machine learning; WDBC dataset</t>
  </si>
  <si>
    <t>Abdelli A., Saouli R., Djemal K., Youkana I.</t>
  </si>
  <si>
    <t>Koma’rudin N., Zakaria Z., Soh P.J., Lago H., Alsariera H., Hassan N.</t>
  </si>
  <si>
    <t>Breast cancer is the second most prominent cause of death among women, and it is a major health problem across the world over the past many years. In this work, four hundred different biopsy images were collected from the Bio-imaging 2018 breast histology classification challenge by participating Grand Challenge on breast cancer histology images (BACH) for multiclass breast cancer histology image classification using deep learning technique. Computer-aided detection or diagnosis (CAD) system plays an important role in the detection and to increase death survival rate of women suffering from breast cancer, which can decrease death rate among women. The main purpose of this paper is to develop a CAD system which can be used to detect whether the input biopsy image fits one of the four different classes like benign, in situ, Invasive and Malignant. We have incorporated an efficient lightweight neural network such as MobileNet2.10ex instead of normal convolution neural network for feature extraction and at top a fully connected deep neural network is designed to do classification among different classes. The confusion matrix is developed in order to draw the model accuracy of both techniques. It is observed that MobleNet2.10ex is giving about 88.92 % training accuracy at 257 epochs and the corresponding loss value is 0.2249. In order to progress the performance during pre-processing, a staining technique was used to remove staining from a digital scan of histology microscopic image of fine-needle aspirate (FNA) slides and feature invariant approach such as data augmentation technique was used to rotate each image in pipeline about the axis 45° apart three times in order to increase dataset and prediction accuracy. The model was trained till 280 epochs to evaluate training and validation accuracy using Google Colab having strong GPU 2496 CUDA cores, 12 GB GDDR5 VRAM and 12.6 GB RAM. © 2021, Springer Nature Singapore Pte Ltd.</t>
  </si>
  <si>
    <t>2-s2.0-105015537375</t>
  </si>
  <si>
    <t>Zahir, S.; Amir, A.; Zahri, N.A.H.; Ang, W.C.</t>
  </si>
  <si>
    <t>A review of recent microwave breast imaging</t>
  </si>
  <si>
    <t>Applying the Deep Learning Model on an IoT Board for Breast Cancer Detection based on Histopathological Images</t>
  </si>
  <si>
    <t>Khalid, N.; Dagli, C.; Obafemi-Ajayi, T.; Wunsch, D.</t>
  </si>
  <si>
    <t>Khalid, Nazish (58533042800); Dagli, Cihan H. (7006792258); Obafemi-Ajayi, Tayo (23985866100); Wunsch, Donald C. (7006706193)</t>
  </si>
  <si>
    <t>https://www.scopus.com/inward/record.uri?eid=2-s2.0-85102409958&amp;doi=10.1088%2F1742-6596%2F1755%2F1%2F012026&amp;partnerID=40&amp;md5=3342ebdea94a79259464e7bf1b1f420c</t>
  </si>
  <si>
    <t>58533042800; 7006792258; 23985866100; 7006706193</t>
  </si>
  <si>
    <t>Knowledge Distillation-Based TinyML Model for Breast Cancer Detection Using Real and Wasserstein GAN-Generated Microwave Imaging Data</t>
  </si>
  <si>
    <t>Report the previous review in the previous work paragraph</t>
  </si>
  <si>
    <t>Sanghavi F., Kezebou L., Panetta K., Agaian S.</t>
  </si>
  <si>
    <t>Annual International Conference of the IEEE Engineering in Medicine and Biology Society. IEEE Engineering in Medicine and Biology Society. Annual International Conference</t>
  </si>
  <si>
    <t>Breast cancer classification using parametric free thresholding adjacency statistics based Fibonacci patterns</t>
  </si>
  <si>
    <t>Tu S.; Li W.; Ai X.; Li H.; Yue Q.; Rehman S.U.</t>
  </si>
  <si>
    <t>Roslidar R., Rahman A., Muharar R., Syahputra M.R., Arnia F., Syukri M., Pradhan B., Munadi K.</t>
  </si>
  <si>
    <t>A Hybrid Deep Learning Model for Breast Cancer Detection and Classification</t>
  </si>
  <si>
    <t>A Review on Recent Progress in Thermal Imaging and Deep Learning Approaches for Breast Cancer Detection</t>
  </si>
  <si>
    <t>10.1109/EMBC58623.2025.11253875</t>
  </si>
  <si>
    <t>https://www.scopus.com/inward/record.uri?eid=2-s2.0-85191413740&amp;doi=10.1145%2f3638782.3638836&amp;partnerID=40&amp;md5=c4c4f2d6c220dab6f5750d9ba5698d8c</t>
  </si>
  <si>
    <t>https://www.scopus.com/inward/record.uri?eid=2-s2.0-105023782596&amp;doi=10.1109%2FEMBC58623.2025.11253875&amp;partnerID=40&amp;md5=116bcec105ca9725518fc2516a52c8f7</t>
  </si>
  <si>
    <t>Nandhini V.L., Roy S.K., Suresh Babu K.</t>
  </si>
  <si>
    <t>Detection of malignant tissue using metal dielectric interface based plasmonic biosensor</t>
  </si>
  <si>
    <t>Elbashir M.K., Ezz M., Mohammed M., Saloum S.S.</t>
  </si>
  <si>
    <t>Oliveira H.S., Teixeira J.F., Oliveira H.P.</t>
  </si>
  <si>
    <t>2nd International Conference on Healthcare Science and Engineering, Healthcare 2018</t>
  </si>
  <si>
    <t>Li Y., Mercan E., Knezevitch S., Elmore J.G., Shapiro L.G.</t>
  </si>
  <si>
    <t>Li J., Liu H., Brown M., Kumar P., Challacombe B.J., Chandra A., Rottenberg G., Seneviratne L.D., Althoefer K., Dasgupta P.</t>
  </si>
  <si>
    <t>Ex vivo study of prostate cancer localization using rolling mechanical imaging towards minimally invasive surgery</t>
  </si>
  <si>
    <t>In breast cancer diagnosis, pathologists evaluate microscopic images of tissue samples to determine if it is benign or malignant. The manual examination process could result in delayed diagnosis, which leads to late cancer treatment and can risk lives. In this paper, we proposed an automated, low-cost, and portable breast cancer detection based on histopathological images by using deep learning. The deep learning models were designed by using the Convolutional Neural Network (CNN). This paper compares the performance of the CNN model by using transfer learning utilizing a pre-trained model (VGG16) and the performance of a CNN model without transfer learning. The result shows that transfer learning provides a good base for classification of histopathological images. The model was successfully deployed on a Raspberry Pi, which demonstrates the model efficiency to run on a lightweight and portable processor. © 2021 Published under licence by IOP Publishing Ltd.</t>
  </si>
  <si>
    <t>not BC</t>
  </si>
  <si>
    <t>https://www.scopus.com/inward/record.uri?eid=2-s2.0-85138239272&amp;doi=10.1615%2FCritRevBiomedEng.2022043417&amp;partnerID=40&amp;md5=85ac07e56c86bb4fcdaee9cc247787e9</t>
  </si>
  <si>
    <t>2013 4th International Conference on Material and Manufacturing Technology, ICMMT 2013</t>
  </si>
  <si>
    <t>Tiny Machine Learning (TinyML) offers a trans-formative approach to efficient, intelligent cancer diagnostics on edge devices. However, designing optimized TinyML models for breast cancer diagnosis using Microwave Imaging datasets remains a challenge due to domain-specific customization requirements. To address this, we propose a novel Knowledge Distillation framework, where a teacher model, built using residual convolutional neural networks, transfers its knowledge to a lightweight student model, enhancing efficiency while maintaining high accuracy. The teacher model achieves a 95.42% accuracy on test data. Through knowledge distillation, the student model attains 95.32% accuracy while achieving a 96% reduction in model size, significantly enhancing computational efficiency without compromising performance. Without distillation, the student model reaches a testing accuracy of 86.5%. A major contribution of this work is the generation of a high-quality synthetic breast cancer dataset to address the scarcity of microwave imaging data. We employ a Wasserstein Generative Adversarial Network with Gradient Penalty (WGAN-GP) to synthesize realistic breast cancer scans, ensuring reliability through rigorous validation with a one-class Support Vector Machine. By training all models on a combination of real and synthetic datasets, our approach enhances robustness, making TinyML-powered breast cancer detection more viable for real-world deployment.Clinical RelevanceThis work enables efficient, accurate breast cancer detection on edge devices, supporting early diagnosis in clinical settings.</t>
  </si>
  <si>
    <t>algorithm; artificial neural network; breast tumor; diagnosis; diagnostic imaging; female; human; image processing; machine learning; microwave imaging; microwave radiation; procedures; reproducibility; Algorithms; Breast Neoplasms; Female; Humans; Image Processing, Computer-Assisted; Machine Learning; Microwave Imaging; Microwaves; Neural Networks, Computer; Reproducibility of Results</t>
  </si>
  <si>
    <t>2-s2.0-105023782596</t>
  </si>
  <si>
    <t>Sharma, A.; Mishra, P.K.</t>
  </si>
  <si>
    <t>Sharma, Ajay (57308944400); Mishra, Pramod Kumar (57208807782)</t>
  </si>
  <si>
    <t>57308944400; 57208807782</t>
  </si>
  <si>
    <t>Inception UNet architecture for breast tumor segmentation and detection using hybrid deep learning approach</t>
  </si>
  <si>
    <t>Multimedia Tools and Applications</t>
  </si>
  <si>
    <t>Luna-Lozoya R.S.; de Jesús Ochoa-Domínguez H.; Sossa-Azuela J.H.; Cruz-Sánchez V.G.; Vergara-Villegas O.O.</t>
  </si>
  <si>
    <t>Lightweight CNN for Detecting Microcalcifications Clusters in Digital Mammograms</t>
  </si>
  <si>
    <t>10.1007/s11042-024-20234-7</t>
  </si>
  <si>
    <t>https://www.scopus.com/inward/record.uri?eid=2-s2.0-85188740503&amp;doi=10.13053%2fCyS-28-1-4892&amp;partnerID=40&amp;md5=80e18515e5313e4e1346b0a273e1e99f</t>
  </si>
  <si>
    <t>https://www.scopus.com/inward/record.uri?eid=2-s2.0-105011323259&amp;doi=10.1007%2Fs11042-024-20234-7&amp;partnerID=40&amp;md5=0d12346861c9d2c1c23267857b977060</t>
  </si>
  <si>
    <t>Breast cancer is a prevalent type of cancer that significantly impacts women health and stands as a leading cause of death. In clinical settings, automated breast tumor segmentation is crucial for early-stage diagnosis and treatment planning. Automatic tumor segmentation is complicated by several issues, including variations in tumor form, breast mass size, intensity variances, and a lack of training data. To address these issues, the proposed study emphasizes on multiscale feature extraction and transfer learning-based approach, utilizing past experiences from a source domain to improve the encoder design in the target domain. The multiscale feature fusion encoder yields precise location specific maps, successfully handling irregular shapes and sizes. Furthermore, the lightweight upsampling decoder enhances accurate restoration of tumor specific information. The inclusion of a sidewise deep supervision enhances breast lesion segmentation and facilitates easier localization in ultrasound images. Additionally, the utilization of a two-phase transfer learning and ensemble segmentation approach improves the quality of the segmentation map. Extensive experiments highlight the superiority of proposed model over state-of-the-art methods on three publicly available datasets. By utilizing publicly available databases, this work improves analytical perspectives on tumor types, methodologies and offers insightful information for the future research. The proposed system reached superior performance with dice score of 88.59% on BUSI and 92.11% on UDAIT dataset with outstanding tumor detection performance. Compared to previous deep learning models, this method reduces overfitting and greatly enhances generalization on smaller datasets. The identification of small tumor sizes, which is essential for early-stage diagnosis, is maximized by the proposed approach. This study enables precise segmentation of diverse tumor shapes and sizes, making it clinically useful for early-stage tumor diagnosis. © The Author(s), under exclusive licence to Springer Science+Business Media, LLC, part of Springer Nature 2024.</t>
  </si>
  <si>
    <t>Biomedical image segmentation; Breast cancer; Inception network; Multiscale feature extraction; Ultrasound imaging; UNet</t>
  </si>
  <si>
    <t>Diagnosis; Image coding; Image enhancement; Image segmentation; Medical imaging; mHealth; Oncology; Biomedical image segmentation; Breast Cancer; Breast tumour; Features extraction; Inception network; Multi-scale features; Multiscale feature extraction; Tumor segmentation; Ultrasound imaging; Unet; Ultrasonic imaging</t>
  </si>
  <si>
    <t>https://www.scopus.com/inward/record.uri?eid=2-s2.0-85148874918&amp;partnerID=40&amp;md5=1319f99a2518dcd8b271472f212eae60</t>
  </si>
  <si>
    <t>2-s2.0-105011323259</t>
  </si>
  <si>
    <t>Wang, Z.; Yin, Y.; Xu, W.; Mo, Y.K.; Yang, H.; Xiong, J.; Hong, Z.</t>
  </si>
  <si>
    <t>Wang, Zhijie (60046086600); Yin, Yachen (57212503900); Xu, Weizheng (60045453300); Mo, Yu K. (57938994400); Yang, Han (57221042027); Xiong, Jingwei (57991747900); Hong, Zhenchen (57192178607)</t>
  </si>
  <si>
    <t>60046086600; 57212503900; 60045453300; 57938994400; 57221042027; 57991747900; 57192178607</t>
  </si>
  <si>
    <t>Illuminating breast cancer malignancies: Lightweight histopathology computer vision classifier for precise breast cancer screening</t>
  </si>
  <si>
    <t>EngMedicine</t>
  </si>
  <si>
    <t>10.1016/j.engmed.2024.100053</t>
  </si>
  <si>
    <t>https://www.scopus.com/inward/record.uri?eid=2-s2.0-105013318948&amp;doi=10.1016%2Fj.engmed.2024.100053&amp;partnerID=40&amp;md5=bf1655a151b007a31ed315279e2af3b6</t>
  </si>
  <si>
    <t>Li Y.; Mercan E.; Knezevitch S.; Elmore J.G.; Shapiro L.G.</t>
  </si>
  <si>
    <t>https://www.scopus.com/inward/record.uri?eid=2-s2.0-85052023801&amp;doi=10.5220%2f0006550700690077&amp;partnerID=40&amp;md5=dabfafba6b3d507fb082faf64aac9ce0</t>
  </si>
  <si>
    <t>Breast cancer, a major global health concern, underscores the pressing need for improved early detection methods to enhance patient outcomes. This study presents an innovative digital pathology classification approach that integrates Low-Rank Adaptation (LoRA) with the Vision Transformer (ViT) model. The proposed method enables more efficient breast cancer detection through a deep learning classifier that requires less training data. This approach outperforms traditional Convolutional Neural Network (CNN) models, including Residual Networks (ResNet), particularly in terms of performance and generalization capabilities in data-limited scenarios. Through extensive experiments and analyses across various dataset sizes, our streamlined classifier demonstrates higher training and testing accuracy (6 ​% better than AlexNet and 0.1 ​% better than ResNet-50 with over 99 ​% accuracy of our classifier) with less training parameters (59.85 million less than AlexNet and 24.85 million less than ResNet-50) in detecting breast cancer with full dataset. With less training data, our classifier performs 3 ​% better in testing accuracy than ResNet-50 with only 5 ​% dataset size. This work propels the advancement of sophisticated computer-aided diagnostic (CAD) systems, facilitating more rapid and accurate breast cancer detection, thereby significantly enhancing patient care outcomes. © 2024 The Author(s)</t>
  </si>
  <si>
    <t>Breast cancer; Cancer detection; Computer-aided diagnosis (CAD); Deep learning; Low Rank Adaptation (LoRA); Vision Transformer (ViT)</t>
  </si>
  <si>
    <t>2-s2.0-105013318948</t>
  </si>
  <si>
    <t>Yeh, W.-C.; Shia, W.-C.; Hsu, Y.-T.; Huang, C.-H.; Lee, Y.-S.</t>
  </si>
  <si>
    <t>Yeh, Weichang (7202860325); Shia, Weichung (14050915400); Hsu, Yunting (59964210400); Huang, Chunhui (59963991800); Lee, Yongshiuan (59917177600)</t>
  </si>
  <si>
    <t>7202860325; 14050915400; 59964210400; 59963991800; 59917177600</t>
  </si>
  <si>
    <t>A Lightweight Breast Cancer Mass Classification Model Utilizing Simplified Swarm Optimization and Knowledge Distillation</t>
  </si>
  <si>
    <t>Bioengineering</t>
  </si>
  <si>
    <t>10.3390/bioengineering12060640</t>
  </si>
  <si>
    <t>https://www.scopus.com/inward/record.uri?eid=2-s2.0-105009115773&amp;doi=10.3390%2Fbioengineering12060640&amp;partnerID=40&amp;md5=bcad5d96c33468f1d61c3d870f01522e</t>
  </si>
  <si>
    <t>Not found</t>
  </si>
  <si>
    <t>https://www.scopus.com/inward/record.uri?eid=2-s2.0-85143079638&amp;partnerID=40&amp;md5=f6d79e7d735d735686810e35e4b2d6ff</t>
  </si>
  <si>
    <t>In recent years, an increasing number of women worldwide have been affected by breast cancer. Early detection is crucial, as it is the only way to identify abnormalities at an early stage. However, most deep learning models developed for classifying breast cancer abnormalities tend to be large-scale and computationally intensive, often overlooking the constraints of cost and limited computational resources. This research addresses these challenges by utilizing the CBIS-DDSM dataset and introducing a novel concatenated classification architecture and a two-stage strategy to develop an optimized, lightweight model for breast mass abnormality classification. Through data augmentation and image preprocessing, the proposed model demonstrates a superior performance compared to standalone CNN and DNN models. The two-stage strategy involves first constructing a compact model using knowledge distillation and then refining its structure with a heuristic approach known as Simplified Swarm Optimization (SSO). The experimental results confirm that knowledge distillation significantly enhances the model’s performance. Furthermore, by applying SSO’s full-variable update mechanism, the final model—SSO-Concatenated NASNetMobile (SSO-CNNM)—achieves outstanding performance metrics. It attains a compression rate of 96.17%, along with accuracy, precision, recall, and AUC scores of 96.47%, 97.4%, 94.94%, and 98.23%, respectively, outperforming other existing methods. © 2025 by the authors.</t>
  </si>
  <si>
    <t>convolutional neural networks; knowledge distillation; lightweight breast cancer mass classification model; simplified swarm optimization</t>
  </si>
  <si>
    <t>2-s2.0-105009115773</t>
  </si>
  <si>
    <t>Nguyen-Chi, T.; Le Thi Thu, H.; Doan Quang, T.; Taniar, D.</t>
  </si>
  <si>
    <t>Nguyen-Chi, Thanh (57576070900); Le Thi Thu, Hong (59939186800); Doan Quang, Tu (59939392500); Taniar, David (7003899641)</t>
  </si>
  <si>
    <t>57576070900; 59939186800; 59939392500; 7003899641</t>
  </si>
  <si>
    <t>A Lightweight Method for Breast Cancer Detection Using Thermography Images with Optimized CNN Feature and Efficient Classification</t>
  </si>
  <si>
    <t>Journal of Imaging Informatics in Medicine</t>
  </si>
  <si>
    <t>10.1007/s10278-024-01269-6</t>
  </si>
  <si>
    <t>https://www.scopus.com/inward/record.uri?eid=2-s2.0-105007789333&amp;doi=10.1007%2Fs10278-024-01269-6&amp;partnerID=40&amp;md5=f9fcf85030c21094b08794cfda2e3762</t>
  </si>
  <si>
    <t>Oladimeji O.; Ayaz H.; McLoughlin I.; Unnikrishnan S.</t>
  </si>
  <si>
    <t>Lightweight Deep Learning for Breast Cancer Diagnosis Based on Slice Selection Techniques</t>
  </si>
  <si>
    <t>https://www.scopus.com/inward/record.uri?eid=2-s2.0-85189939027&amp;doi=10.1109%2fAICS60730.2023.10470496&amp;partnerID=40&amp;md5=7c7256cc5bab6cec31169fed656e5fe4</t>
  </si>
  <si>
    <t>Breast cancer is a prominent cause of death among women worldwide. Infrared thermography, due to its cost-effectiveness and non-ionizing radiation, has emerged as a promising tool for early breast cancer diagnosis. This article presents a hybrid model approach for breast cancer detection using thermography images, designed to process and classify these images into healthy or cancerous categories, thus supporting disease diagnosis. Multiple pre-trained convolutional neural networks are employed for image feature extraction, and feature filter methods are proposed for feature selection, with diverse classifiers utilized for image classification. Evaluating the DRM-IR test set revealed that the combination of ResNet34, Chi-square (χ2) filter, and SVM classifier demonstrated superior performance, achieving the highest accuracy at 99.62%. Furthermore, the highest accuracy improvement obtained was 18.3% when using the SVM classifier and Chi-square filter compared to regular convolutional neural networks. The results confirmed that the proposed method, with its high accuracy and lightweight model, outperforms state-of-the-art breast cancer detection from thermography image methods, making it a good choice for computer-aided diagnosis. © The Author(s) under exclusive licence to Society for Imaging Informatics in Medicine 2024.</t>
  </si>
  <si>
    <t>Breast cancer; Breast thermal image; Classifiers; CNN feature exactor; Feature optimization</t>
  </si>
  <si>
    <t>Convolutional neural networks; Oncology; Photointerpretation; Breast Cancer; Breast cancer detection; Breast thermal image; Causes of death; CNN feature exactor; Convolutional neural network; Features optimizations; High-accuracy; SVM classifiers; Thermal images; Thermography (imaging)</t>
  </si>
  <si>
    <t>All Open Access; Green Accepted Open Access; Green Open Access</t>
  </si>
  <si>
    <t>2-s2.0-105007789333</t>
  </si>
  <si>
    <t>Yu, F.; Xiao, Z.; Liu, L.; Liu, K.; Tang, M.; Jiang, M.; Hou, J.</t>
  </si>
  <si>
    <t>Yu, Feng (56202162800); Xiao, Zhiyong (59138529900); Liu, Li (58348866700); Liu, Kan (15077052600); Tang, Man (56026754200); Jiang, Minghua (57199169386); Hou, Jinxuan (25644513200)</t>
  </si>
  <si>
    <t>56202162800; 59138529900; 58348866700; 15077052600; 56026754200; 57199169386; 25644513200</t>
  </si>
  <si>
    <t>BiaCanDet: Bioelectrical impedance analysis for breast cancer detection with space–time attention neural network</t>
  </si>
  <si>
    <t>Expert Systems with Applications</t>
  </si>
  <si>
    <t>10.1016/j.eswa.2024.126223</t>
  </si>
  <si>
    <t>https://www.scopus.com/inward/record.uri?eid=2-s2.0-85214326452&amp;doi=10.1016%2Fj.eswa.2024.126223&amp;partnerID=40&amp;md5=9779535bd1cd90a9601cd252c802f3be</t>
  </si>
  <si>
    <t>Kausar T.; Lu Y.; Kausar A.</t>
  </si>
  <si>
    <t>Breast Cancer Diagnosis Using Lightweight Deep Convolution Neural Network Model</t>
  </si>
  <si>
    <t>https://www.scopus.com/inward/record.uri?eid=2-s2.0-85176360213&amp;doi=10.1109%2fACCESS.2023.3326478&amp;partnerID=40&amp;md5=3bc5d4f4ae2ea41a80abc82076075cac</t>
  </si>
  <si>
    <t>Breast cancer is a life-threatening disease and early detection plays a crucial role in improving survival rates. However, current detection technologies face challenges such as invasiveness, radiation exposure, high costs, and limited accessibility. To address these issues, a novel breast cancer detection system called BiaCanDet based on bioelectrical impedance analysis (BIA) signal and space–time attention network is proposed for the first time. The BiaCanDet system utilizes non-invasive BIA to measure signal changes in electrical impedance and phase angle (PHA) based on the normal and tumour breast tissue. We collect the first BIABC dataset using BIA devices, which includes 2,444 samples from normal, benign, and malignant breast tissues. Professional physicians collect and annotate the samples through repeated tissue sampling with needle electrodes, combined with pathological analysis to ensure accuracy. This paper proposes a novel space–time attention network (STABFNet) for the complex bioelectrical impedance signal to obtain robust cancer signal feature, which designs the impedance phase enhancement attention (IPEA) model to improve recognition performance. The experimental results on the BIABC dataset confirm that the STABFNet network achieve the 93.37%, 90.64%, 89.37%, and 89.90% in terms of accuracy, precision, recall, and f1-score, respectively. Additionally, the system also demonstrates real-time detection capabilities in the lightweight mobile terminal. The proposed system and methodology introduce a pioneering approach for breast cancer detection that is low-cost and convenient, making it a promising solution for widespread adoption that has the potential to revolutionize early breast cancer detection worldwide. © 2025 Elsevier Ltd</t>
  </si>
  <si>
    <t>Attention mechanism; Bioelectrical impedance analysis; Breast cancer detection; Space–time network</t>
  </si>
  <si>
    <t>Lung cancer; Attention mechanisms; Bioelectrical impedance analysis; Breast Cancer; Breast cancer detection; Breast tissues; Current detection; Neural-networks; Spacetime; Space–time network; Survival rate; Tissue</t>
  </si>
  <si>
    <t>2-s2.0-85214326452</t>
  </si>
  <si>
    <t>Tang, Y.; Zhou, D.; Flesch, R.C.C.; Jin, T.</t>
  </si>
  <si>
    <t>Tang, Yundong (57193339074); Zhou, Depei (59410875800); Flesch, Rodolfo C.C. (35179226900); Jin, Tao (57203993358)</t>
  </si>
  <si>
    <t>57193339074; 59410875800; 35179226900; 57203993358</t>
  </si>
  <si>
    <t>A multi-input lightweight convolutional neural network for breast cancer detection considering infrared thermography</t>
  </si>
  <si>
    <t>10.1016/j.eswa.2024.125738</t>
  </si>
  <si>
    <t>https://www.scopus.com/inward/record.uri?eid=2-s2.0-85209135738&amp;doi=10.1016%2Fj.eswa.2024.125738&amp;partnerID=40&amp;md5=f63eca2506f39327bb569826fb606f69</t>
  </si>
  <si>
    <t>Although deep convolutional neural network (CNN) has been widely used in the breast cancer detection based on thermal imaging technology, this scenario still did not receive enough attention in the mobile devices with limited resource. In addition, there still exists challenge on how to assist front view thermal imaging by side one during breast cancer detection. This study proposes a multi-input lightweight CNN named Multi-light Net in order to achieve more accurate early detection for breast cancer, which combines the thermal image from multiple perspectives with the lightweight CNN on the basis of model performance and scale. In addition, a new weighted label smoothing regularization (WLSR) is proposed for the Multi-light Net with the purpose of increasing the network's generalization ability and classification accuracy. The experimental results demonstrate that the proposed approach by combining front view with side view can achieve more significant results than the common one using only front view during breast cancer detection, and the proposed Multi-light Net also exhibits an excellent performance with respect to the currently popular lightweight CNN. Furthermore, the proposed WLSR loss function can also lead to both faster convergence rate and more stable training process during network training and ultimately higher diagnostic accuracy for breast cancer. © 2024 Elsevier Ltd</t>
  </si>
  <si>
    <t>Breast cancer; CNN; Lightweight; Multi-input; Thermography</t>
  </si>
  <si>
    <t>Breast Cancer; Breast cancer detection; Convolutional neural network; Lightweight; Multiinput; Regularisation; Thermal images; Thermal imaging technology; Thermal-imaging; Thermography; Convolutional neural networks</t>
  </si>
  <si>
    <t>2-s2.0-85209135738</t>
  </si>
  <si>
    <t>Jiang, T.; Guo, J.; Xing, W.; Yu, M.; Li, Y.; Zhang, B.; Dong, Y.; Ta, D.</t>
  </si>
  <si>
    <t>Jiang, Tao (59597033200); Guo, Jun (59489856900); Xing, Wenyu (57203964459); Yu, Ming (58592175200); Li, Yifang (57210346439); Zhang, Bo (56459169900); Dong, Yi (56963102800); Ta, Dean (6701758419)</t>
  </si>
  <si>
    <t>59597033200; 59489856900; 57203964459; 58592175200; 57210346439; 56459169900; 56963102800; 6701758419</t>
  </si>
  <si>
    <t>A prior segmentation knowledge enhanced deep learning system for the classification of tumors in ultrasound image</t>
  </si>
  <si>
    <t>Ref:37</t>
  </si>
  <si>
    <t>Engineering Applications of Artificial Intelligence</t>
  </si>
  <si>
    <t>Nneji G.U.; Monday H.N.; Mgbejime G.T.; Pathapati V.S.R.; Nahar S.; Ukwuoma C.C.</t>
  </si>
  <si>
    <t>10.1016/j.engappai.2024.109926</t>
  </si>
  <si>
    <t>Lightweight Separable Convolution Network for Breast Cancer Histopathological Identification</t>
  </si>
  <si>
    <t>https://www.scopus.com/inward/record.uri?eid=2-s2.0-85213270582&amp;doi=10.1016%2Fj.engappai.2024.109926&amp;partnerID=40&amp;md5=632b74e9bb4aa2715e9771d6fd4593b3</t>
  </si>
  <si>
    <t>https://www.scopus.com/inward/record.uri?eid=2-s2.0-85146743965&amp;doi=10.3390%2fdiagnostics13020299&amp;partnerID=40&amp;md5=8f922acf5f337e1d140794f72658cc45</t>
  </si>
  <si>
    <t>Breast and thyroid cancers are prevalent among women worldwide. Ultrasound (US) examination is widely used for the early detection of breast and thyroid cancers. However, due to the blurred tumor boundaries and irregular shapes, the computer-aided diagnosis (CAD) of tumors based on US is challenging. Numerous studies have introduced deep learning-based multi-task learning approaches to address this issue, but these methods may result in feature redundancy and misinformation. Tumor segmentation is a prerequisite step for US CAD, and a higher Dice coefficient is associated with more accurate classification outcomes. Therefore, this paper introduces a novel deep-learning system that fully utilizes segmentation knowledge to boost classification performance. The system starts with a hybrid convolutional neural network (CNN)-Transformer for tumor localization and coarse segmentation, then uses a lightweight CNN-based U-Net to refine segmentation results. Subsequently, segmentation knowledge is harnessed to augment the network input and enhance multimodal feature extraction, resulting in improved classification performance. Our proposed method yielded a Dice coefficient of 83.62% and 77.20% for breast and thyroid tumor segmentation and area under curve (AUC) values of 0.9536 and 0.9475 for their respective classifications. Compared to non-segmentation knowledge-based classification models, our method obtained an increase in AUC of 0.1054 and 0.0566 on the breast and thyroid datasets, respectively. It outperformed the performance of the State-Of-The-Art (SOTA) methods across various datasets. In summary, our proposed system shows promise for application in US tumor analysis and holds potential to be extended to additional diseases and modalities. © 2024</t>
  </si>
  <si>
    <t>Breast cancer; Deep convolution neural network; Feature analysis; Thyroid cancer; Transformer; Ultrasound image analysis</t>
  </si>
  <si>
    <t>Contrastive Learning; Deep neural networks; Image analysis; Image segmentation; Multi-task learning; Oncology; Ultrasonic imaging; Breast Cancer; Computer-aided; Convolution neural network; Deep convolution neural network; Dice coefficient; Feature analysis; Thyroid cancers; Transformer; Tumor segmentation; Ultrasound image analysis; Convolutional neural networks</t>
  </si>
  <si>
    <t>2-s2.0-85213270582</t>
  </si>
  <si>
    <t>Ramkumar, R.; Ashok, A.; Vijaipriya, V.; Ravichandran, S.K.</t>
  </si>
  <si>
    <t>Ramkumar, M. (57214979824); Ashok, B. (58784628000); Vijaipriya, K. (56160758000); Ravichandran, Sarath Kumar (59542767000)</t>
  </si>
  <si>
    <t>57214979824; 58784628000; 56160758000; 59542767000</t>
  </si>
  <si>
    <t>An Efficient Lightweight Multi Head Attention Gannet Convolutional Neural Network Based Mammograms Classification</t>
  </si>
  <si>
    <t>International Journal of Medical Robotics and Computer Assisted Surgery</t>
  </si>
  <si>
    <t>e70043</t>
  </si>
  <si>
    <t>10.1002/rcs.70043</t>
  </si>
  <si>
    <t>https://www.scopus.com/inward/record.uri?eid=2-s2.0-85216938639&amp;doi=10.1002%2Frcs.70043&amp;partnerID=40&amp;md5=1306053363c81a204a57f2e9db64f30a</t>
  </si>
  <si>
    <t>read</t>
  </si>
  <si>
    <t>Elbashir M.K.; Ezz M.; Mohammed M.; Saloum S.S.</t>
  </si>
  <si>
    <t>https://www.scopus.com/inward/record.uri?eid=2-s2.0-85077964825&amp;doi=10.1109%2fACCESS.2019.2960722&amp;partnerID=40&amp;md5=48bf5b3ff49f972a8893f8c9bdd8e035</t>
  </si>
  <si>
    <t>Background: This research aims to use deep learning to create automated systems for better breast cancer detection and categorisation in mammogram images, helping medical professionals overcome challenges such as time consumption, feature extraction issues and limited training models. Methods: This research introduced a Lightweight Multihead attention Gannet Convolutional Neural Network (LMGCNN) to classify mammogram images effectively. It used wiener filtering, unsharp masking, and adaptive histogram equalisation to enhance images and remove noise, followed by Grey-Level Co-occurrence Matrix (GLCM) for feature extraction. Ideal feature selection is done by a self-adaptive quantum equilibrium optimiser with artificial bee colony. Results: The research assessed on two datasets, CBIS-DDSM and MIAS, achieving impressive accuracy rates of 98.2% and 99.9%, respectively, which highlight the superior performance of the LMGCNN model while accurately detecting breast cancer compared to previous models. Conclusion: This method illustrates potential in aiding initial and accurate breast cancer detection, possibly leading to improved patient outcomes. © 2025 John Wiley &amp; Sons Ltd.</t>
  </si>
  <si>
    <t>attention mechanism; breast cancer; graphical user interface; lightweight neural network; mammograms</t>
  </si>
  <si>
    <t>Adaptive filtering; Deep learning; Feature Selection; Graphical user interfaces; Lung cancer; Mammography; Attention mechanisms; Breast Cancer; Breast cancer detection; Convolutional neural network; Features extraction; Lightweight neural network; Mammogram; Mammogram images; Multihead; Neural-networks; Convolutional neural networks; Article; artificial bee colony algorithm; autoanalysis; breast cancer; cancer classification; cancer diagnosis; classification algorithm; convolutional neural network; diagnostic accuracy; diagnostic test accuracy study; feature extraction algorithm; feature selection; Grey level cooccurence matrix; histogram; human; image analysis; image enhancement; lightweight multihead attention Gannet convolutional neural network; mammography; algorithm; artificial neural network; breast tumor; computer assisted diagnosis; deep learning; diagnostic imaging; factual database; female; image processing; procedures; reproducibility; Algorithms; Breast Neoplasms; Databases, Factual; Deep Learning; Female; Humans; Image Processing, Computer-Assisted; Neural Networks, Computer; Radiographic Image Interpretation, Computer-Assisted; Reproducibility of Results</t>
  </si>
  <si>
    <t>2-s2.0-85216938639</t>
  </si>
  <si>
    <t>Many researchers have developed computer-assisted diagnostic (CAD) methods to diagnose breast cancer using histopathology microscopic images. These techniques help to improve the accuracy of biopsy diagnosis with hematoxylin and eosin-stained images. On the other hand, most CAD systems usually rely on inefficient and time-consuming manual feature extraction methods. Using a deep learning (DL) model with convolutional layers, we present a method to extract the most useful pictorial information for breast cancer classification. Breast biopsy images stained with hematoxylin and eosin can be categorized into four groups namely benign lesions, normal tissue, carcinoma in situ, and invasive carcinoma. To correctly classify different types of breast cancer, it is important to classify histopathological images accurately. The MobileNet architecture model is used to obtain high accuracy with less resource utilization. The proposed model is fast, inexpensive, and safe due to which it is suitable for the detection of breast cancer at an early stage. This lightweight deep neural network can be accelerated using field-programmable gate arrays for the detection of breast cancer. DL has been implemented to successfully classify breast cancer. The model uses categorical cross-entropy to learn to give the correct class a high probability and other classes a low probability. It is used in the classification stage of the convolutional neural network (CNN) after the clustering stage, thereby improving the performance of the proposed system. To measure training and validation accuracy, the model was trained on Google Colab for 280 epochs with a powerful GPU with 2496 CUDA cores, 12 GB GDDR5 VRAM, and 12.6 GB RAM. Our results demonstrate that deep CNN with a chi-square test has improved the accuracy of histopathological image classification of breast cancer by greater than 11% compared with other state-of-the-art methods. © 2022 by Begell House, Inc.</t>
  </si>
  <si>
    <t>Proceedings of the 2nd International Conference on Innovations in Electronics and Communication Systems, ICIECS 2022</t>
  </si>
  <si>
    <t>AIP Conference Proceedings</t>
  </si>
  <si>
    <t>Kim, S.; Yoon, K.</t>
  </si>
  <si>
    <t>https://www.scopus.com/inward/record.uri?eid=2-s2.0-85216120907&amp;partnerID=40&amp;md5=8e84515b90dfa1ef6cc5b268b830c812</t>
  </si>
  <si>
    <t>https://www.scopus.com/inward/record.uri?eid=2-s2.0-85139222990&amp;doi=10.13052%2Fjmm1550-4646.18619&amp;partnerID=40&amp;md5=da2a1aa1668572887810f27b242c2214</t>
  </si>
  <si>
    <t>Zhang X.; Lin X.; Zhang Z.; Dong L.; Sun X.; Sun D.; Yuan K.</t>
  </si>
  <si>
    <t>The proceedings contain 75 papers. The topics discussed include: Bluetooth based home automation; priority ranked search of multiple keywords for authentication mechanism using cloud data management; object detection in visual recognition system based on deep learning techniques; block chain based novel energy efficient routing protocol for wireless sensor network; a real-time human eye pupil tracking system using FPGA; design and analysis of forward problem of electrical impedance tomography for breast cancer screening; lightweight sybil attack detection framework for wireless sensor network with cluster topology; breast cancer detection using enhanced preprocessing techniques to trace accurate skin air interface; and fractal texture analysis for automated breast cancer detection.</t>
  </si>
  <si>
    <t>https://www.scopus.com/inward/record.uri?eid=2-s2.0-85086567155&amp;doi=10.1177%2f0161734620928453&amp;partnerID=40&amp;md5=f2fe0aca530d33319e4376e4a088753c</t>
  </si>
  <si>
    <t>2-s2.0-85216120907</t>
  </si>
  <si>
    <t>12th International Conference on Computational Advances in Bio and Medical Sciences, ICCABS 2023</t>
  </si>
  <si>
    <t>14548 LNBI</t>
  </si>
  <si>
    <t>https://www.scopus.com/inward/record.uri?eid=2-s2.0-86000031957&amp;partnerID=40&amp;md5=592dc29ff4df9ca16bd465de27e59304</t>
  </si>
  <si>
    <t>The proceedings contain 23 papers. The special focus in this conference is on Computational Advances in Bio and Medical Sciences. The topics include: PartialFibers: An Efficient Method for Predicting Drug-Drug Interactions; optimizing Deep Learning for Biomedical Imaging; exploring a Solution Curve in the Phase Plane for Extreme Firing Rates in the Izhikevich Model; cancer and Tissue Prediction Using Mutational Signatures in Highly Mutated Cancers; on the Hardness of Wildcard Pattern Matching on de Bruijn Graphs; plastic: An Easy to Use and Modular Tool for Benchmarking Tumor Phylogeny Reconstruction Pipelines; A 3D Deep Learning Architecture for Denoising Low-Dose CT Scans; a Simple and Interpretable Deep Learning Model for Diagnosing Pneumonia from Chest X-Ray Images; FedDP: Secure Federated Learning with Differential Privacy for Disease Prediction; computational Tumor Progression Analysis via Seriation Based Trajectory Inference; multilayer Network Analysis of Brain Signals for Detecting Alzheimer’s Disease; DNA Methylation Based Subtype Classification of Breast Cancer; repeated Measures Latent Dirichlet Allocation for Longitudinal Microbiome Analysis; improving Disease Comorbidity Prediction with Biologically Supervised Graph Embedding; Lightweight and Generalizable Model for COVID-19 Detection Using Chest Xray Images; decoding Heterogeneity in Quadruple-Negative Breast Cancer: A Data-driven Clustering Approach; determining Temporal Linkages in Dynamic Epidemiological Networks Using the Earth Mover’s Distance; functional Connectivity Disruptions in Alzheimer’s Disease: A Maximum Flow Perspective; on Multi-phase Metagenomics Reads Binning; a Unified Machine Learning Framework for Multi-subtype Tumour Classification Across Diverse Datasets; AFA: Abstract Functional Analysis Identifies New Microglial Subtypes at Single Cell Level in Alzheimer’s Disease.</t>
  </si>
  <si>
    <t>2-s2.0-86000031957</t>
  </si>
  <si>
    <t>Alemu, A.; Girma, A.; Abebe, M.; Srinivasagan, R.</t>
  </si>
  <si>
    <t>Alemu, Abebe (59661802100); Girma, Anteneh (36536988900); Abebe, Mesfin (56208636200); Srinivasagan, Ramasamy (57972081600)</t>
  </si>
  <si>
    <t>59661802100; 36536988900; 56208636200; 57972081600</t>
  </si>
  <si>
    <t>Genetic Algorithm-optimized k-nearest Neighbors and Support Vector Machines for Breast Cancer Detection in Resource-constrained Environments</t>
  </si>
  <si>
    <t>Gong J.; Ye P.; Chang Z.</t>
  </si>
  <si>
    <t>IAENG International Journal of Computer Science</t>
  </si>
  <si>
    <t>The application of lightweight AI algorithms in postoperative rehabilitation of breast cancer</t>
  </si>
  <si>
    <t>https://www.scopus.com/inward/record.uri?eid=2-s2.0-85219380788&amp;partnerID=40&amp;md5=fd752c72e769389a2766a95c3b27506d</t>
  </si>
  <si>
    <t>Breast cancer is a fatal disease affecting women, and early detection and proper treatment are crucial. Classifying medical images correctly is the first and most important step in the cancer diagnosis stage. Deep learning-based classification methods in various domains demonstrate advances in accuracy. However, as deep learning improves, the layers of neural networks get deeper, raising challenges, such as overfitting and gradient vanishing. For instance, a medical image is simpler than an ordinary one, making it vulnerable to overfitting issues. We present breast histopathological classification methods with two deep neural networks, Xception and LightXception with aid of voting schemes over split images. Most deep neural networks classify thousands classes of images, but the breast histopathological image classes are far fewer than those of other image classification tasks. Because the BreakHis dataset is relatively simpler than typical image datasets, such as ImageNet, applying the conventional highly deep neural networks may suffer from the aforementioned overfitting or gradient vanishing problems. Additionally, highly deep neural networks require more resources, leading to high computational costs. Consequently, we propose a new network; LightXception by cutting off layers at the bottom of the Xception network and reducing the number of channels of convolution filters. LightXception has only about 35% of parameters compared to those of the original Xception network with minimal expense on performance. Based on images with 100X magnification factor, the performance comparisons for Xception vs. LightXception are 97.42% vs. 97.31% on classification accuracy, 97.42% vs. 97.42% on recall, and 99.26% vs. 98.67% of precision. © 2022 River Publishers. All rights reserved.</t>
  </si>
  <si>
    <t>https://www.scopus.com/inward/record.uri?eid=2-s2.0-85179734403&amp;doi=10.1080%2f10255842.2023.2292009&amp;partnerID=40&amp;md5=19223f3778b4309f67aa7407b021a466</t>
  </si>
  <si>
    <t>Huang, J.; Mei, L.; Long, M.; Liu, Y.; Sun, W.; Li, X.; Shen, H.; Zhou, F.; Ruan, X.; Wang, D.; Wang, S.; Hu, T.; Lei, C.</t>
  </si>
  <si>
    <t>https://www.scopus.com/inward/record.uri?eid=2-s2.0-85132930127&amp;doi=10.3390%2Fbioengineering9060261&amp;partnerID=40&amp;md5=2061b61f9c49957ac6fa8f9427c5bb70</t>
  </si>
  <si>
    <t>Breast cancer poses a significant global threat, highlighting the urgent need for early detection to reduce mortality rates. Researchers are working to minimize the occurrence of false positives and false negatives, thereby improving the efficiency of breast cancer detection models. To achieve this, they employ advanced techniques such as artificial intelligence, machine learning, deep learning, and computational intelligence. Support vector machines (SVM) and k-nearest neighbors (KNN) are two popular lightweight machine-learning techniques.; however, their effectiveness depends on proper feature selection and parameter tuning. Genetic algorithm optimization provides a solution by intelligently selecting relevant features and fine-tuning parameters, which enhances classification accuracy for early diagnosis. This study demonstrates the effectiveness of a hybrid computational intelligence model that utilizes genetic algorithms for feature selection. The proposed GAKNN-SVM model shows superior performance in detecting breast tumors, utilizing the Wisconsin Breast Cancer Diagnostic Dataset. The results indicate significant improvements, with accuracy, sensitivity, and specificity rates reaching 98.25%, 98.15%, and 98.41%, respectively, based on 171 test samples. Overall, genetic algorithms and machine learning approaches hold great promise for improving breast cancer detection accuracy, ultimately leading to better diagnostic outcomes and reduced mortality rates, especially in resource-constrained environments. © (2025), (International Association of Engineers). All rights reserved.</t>
  </si>
  <si>
    <t>Breast Cancer; Computational Intelligence; GAKNN-SVM; Genetic Algorithms; Hybrid</t>
  </si>
  <si>
    <t>Adversarial machine learning; Deep learning; Diagnosis; Diseases; Feature Selection; Lung cancer; Nearest neighbor search; Breast Cancer; Breast cancer detection; False positive and false negatives; Features selection; GAKNN-support vector machine; Global threats; Hybrid; Mortality rate; Nearest-neighbour; Support vectors machine; Support vector machines</t>
  </si>
  <si>
    <t>2-s2.0-85219380788</t>
  </si>
  <si>
    <t>Oladimeji, O.; Ayaz, H.; McLoughlin, I.; Unnikrishnan, S.</t>
  </si>
  <si>
    <t>Oladimeji, Oladosu Oyebisi (6603588478); Ayaz, Hamail (57218760714); McLoughlin, Ian (57223160004); Unnikrishnan, Saritha (57207880956)</t>
  </si>
  <si>
    <t>6603588478; 57218760714; 57223160004; 57207880956</t>
  </si>
  <si>
    <t>Optimizing BI-RADS 4 Lesion Assessment Using Lightweight Convolutional Neural Network with CBAM in Contrast Enhanced Mammography</t>
  </si>
  <si>
    <t>15451 LNCS</t>
  </si>
  <si>
    <t>10.1007/978-3-031-77789-9_10</t>
  </si>
  <si>
    <t>https://www.scopus.com/inward/record.uri?eid=2-s2.0-85219183459&amp;doi=10.1007%2F978-3-031-77789-9_10&amp;partnerID=40&amp;md5=1c4f86926593d3f500e6a340e24aba67</t>
  </si>
  <si>
    <t>Yan T.; Chen G.; Zhang H.; Wang G.; Yan Z.; Li Y.; Xu S.; Zhou Q.; Shi R.; Tian Z.; Wang B.</t>
  </si>
  <si>
    <t>Convolutional neural network with parallel convolution scale attention module and ResCBAM for breast histology image classification</t>
  </si>
  <si>
    <t>https://www.scopus.com/inward/record.uri?eid=2-s2.0-85192759561&amp;doi=10.1016%2fj.heliyon.2024.e30889&amp;partnerID=40&amp;md5=2aebba74950a9ad11fdbd8588e8f8447</t>
  </si>
  <si>
    <t>Breast cancer is the leading cause of cancer-related mortality and morbidity among women worldwide. Early detection plays a crucial role in improving survival rates and BI-RADS classification is one of the effective ways of predicting breast cancer. However, BI-RADS Category 4 encompasses a broad spectrum of malignancy probabilities, ranging from over 2% to 95%. Due to the wide malignancy likelihood range and the ambiguous qualitative attributes of BI-RADS 4, patients are subjected to overdiagnosis and unnecessary procedures, such as biopsy, which entail a certain degree of physical trauma as well as financial strain. This study proposed a lightweight CNN where MobileNet serves as the backbone architecture, augmented with the Convolutional Block Attention Module (CBAM), resulting in the MobileNet-CBAM model. The model demonstrated good performance in discriminating BI-RADS 4 category malignant and benign cases in Contrast Enhanced Spectral Mammogram (CESM) with a prediction of 82%, 82% and 0.91 for accuracy, f1-score and roc-auc respectively. Additionally, for clinical friendliness, the model explanation was given using SHAP. Hence, the model presents potential utility in predicting breast cancer for lesions categorized as BI-RADS category 4 in breast imaging. © The Author(s), under exclusive license to Springer Nature Switzerland AG 2025.</t>
  </si>
  <si>
    <t>Breast cancer; Breast Imaging Reporting and Data System (BI-RADS); cancer screening; CBAM (Convolution Block Attention Module); Contrast Enhanced Spectral Mammogram; MobileNet</t>
  </si>
  <si>
    <t>Biopsy; Bismuth alloys; Convolutional neural networks; Mammography; Breast Cancer; Breast imaging reporting and data system; Breast imaging reporting and data systems; Cancer screening; Contrast enhanced spectral mammogram; Contrast-enhanced; Contrast-enhanced mammographies; Convolution block attention module; Convolutional neural network; Mobilenet; Convolution</t>
  </si>
  <si>
    <t>2-s2.0-85219183459</t>
  </si>
  <si>
    <t>1st Deep Breast Workshop on AI and Imaging for Diagnostic and Treatment Challenges in Breast Care, Deep-Breath 2024</t>
  </si>
  <si>
    <t>Breast cancer is one of the most common types of cancer and is the leading cause of cancer-related death. Diagnosis of breast cancer is based on the evaluation of pathology slides. In the era of digital pathology, these slides can be converted into digital whole slide images (WSIs) for further analysis. However, due to their sheer size, digital WSIs diagnoses are time consuming and challenging. In this study, we present a lightweight architecture that consists of a bilinear structure and MobileNet-V3 network, bilinear MobileNet-V3 (BM-Net), to analyze breast cancer WSIs. We utilized the WSI dataset from the ICIAR2018 Grand Challenge on Breast Cancer Histology Images (BACH) competition, which contains four classes: normal, benign, in situ carcinoma, and invasive carcinoma. We adopted data augmentation techniques to increase diversity and utilized focal loss to remove class imbalance. We achieved high performance, with 0.88 accuracy in patch classification and an average 0.71 score, which surpassed state-of-the-art models. Our BM-Net shows great potential in detecting cancer in WSIs and is a promising clinical tool. © 2022 by the authors. Licensee MDPI, Basel, Switzerland.</t>
  </si>
  <si>
    <t>https://www.scopus.com/inward/record.uri?eid=2-s2.0-85219172817&amp;partnerID=40&amp;md5=a6dedea121669a645badc87c1861017f</t>
  </si>
  <si>
    <t>Garg, S.; Singh, P.</t>
  </si>
  <si>
    <t>Transfer Learning Based Lightweight Ensemble Model for Imbalanced Breast Cancer Classification</t>
  </si>
  <si>
    <t>https://www.scopus.com/inward/record.uri?eid=2-s2.0-85132534568&amp;doi=10.1109%2FTCBB.2022.3174091&amp;partnerID=40&amp;md5=e4a812f8afb738e87a9fcc87c306ca63</t>
  </si>
  <si>
    <t>The proceedings contain 23 papers. The special focus in this conference is on AI and Imaging for Diagnostic and Treatment Challenges in Breast Care. The topics include: DuEU-Net: Dual Encoder UNet with Modality-Agnostic Training for PET-CT Multi-modal Organ and Lesion Segmentation; One for All: UNET Training on Single-Sequence Masks for Multi-sequence Breast MRI Segmentation; Multimodal Breast MRI Language-Image Pretraining (MLIP): An Exploration of a Breast MRI Foundation Model; enhancing the Utility of Privacy-Preserving Cancer Classification Using Synthetic Data; Efficient Generation of Synthetic Breast CT Slices By Combining Generative and Super-Resolution Models; Exploring Patient Data Requirements in Training Effective AI Models for MRI-Based Breast Cancer Classification; Virtual Dynamic Contrast Enhanced Breast MRI Using 2D U-Net Architectures; Optimizing BI-RADS 4 Lesion Assessment Using Lightweight Convolutional Neural Network with CBAM in Contrast Enhanced Mammography; mammographic Breast Positioning Assessment via Deep Learning; endpoint Detection in Breast Images for Automatic Classification of Breast Cancer Aesthetic Results; thick Slices for Optimal Digital Breast Tomosynthesis Classification With Deep-Learning; predicting Aesthetic Outcomes in Breast Cancer Surgery: A Multimodal Retrieval Approach; vision Mamba for Classification of Breast Ultrasound Images; breast Cancer Molecular Subtyping from H&amp;E Whole Slide Images Using Foundation Models and Transformers; graph Neural Networks for Modelling Breast Biomechanical Compression; a Generative Adversarial Approach to Remove Moiré Artifacts in Dark-Field and Phase-Contrast X-Ray Images; MRI Breast Tissue Segmentation Using nnU-Net for Biomechanical Modeling; Fat-Suppressed Breast MRI Synthesis for Domain Adaptation in Tumour Segmentation; Guiding Breast Conservative Surgery by Augmented Reality from Preoperative MRI: Initial System Design and Retrospective Trials; ELK: Enhanced Learning Through Cross-Modal Knowledge Transfer for Lesion Detection in Limited-Sample Contrast-Enhanced Mammography Datasets; safe Breast Cancer Diagnosis Resilient to Mammographic Adversarial Samples.</t>
  </si>
  <si>
    <t>2-s2.0-85219172817</t>
  </si>
  <si>
    <t>3rd International Conference on Network Security and Blockchain Technology, ICNSBT 2024</t>
  </si>
  <si>
    <t>Lecture Notes in Networks and Systems</t>
  </si>
  <si>
    <t>1158 LNNS</t>
  </si>
  <si>
    <t>Garg S.; Singh P.</t>
  </si>
  <si>
    <t>https://www.scopus.com/inward/record.uri?eid=2-s2.0-85219172557&amp;partnerID=40&amp;md5=f7d40faac9c3d1fc6e1e6c6758a3d71f</t>
  </si>
  <si>
    <t>https://www.scopus.com/inward/record.uri?eid=2-s2.0-85132534568&amp;doi=10.1109%2fTCBB.2022.3174091&amp;partnerID=40&amp;md5=efe6c44a590281dca5a433aca8c3cbb9</t>
  </si>
  <si>
    <t>The proceedings contain 32 papers. The special focus in this conference is on Network Security and Blockchain Technology. The topics include: Exploring the Limits of Classical Random Number Generation and Unveiling Quantum Alternatives; LWT-Based Watermarking Scheme for Image Authentication; Robust Image Steganography Using DCT, GrabCut, and Quantization; spread-Spectrum Based a New Secured Robust Image Watermarking Scheme; Zero Trust Network Access (ZTNA) Architecture: A Novel Perspective to Cloud Security; Enhancing Healthcare IoT Security: A CCN-Based Approach for FIB Establishment and Content Delivery; cryptanalysis and Countermeasures on Multivariate Cubic Polynomial-Based Digital Signature; Evaluation of Objective Functions of RPL in the Contiki Simulator on Various Radio Models; lattice-Based Authentication Scheme for Smart Agriculture System; lightweight Symmetric Key Exchange Protocols for Enhanced Security in Elastic Optical Fiber Communication; Nonlinearity in AES Subkey Scheduling—An Augmented Security; Privacy-Preserved Covid and Inter-BAN Communication Status Maintenance with Key and Random Value Update in Blockchain; Secure Sharing of CCTV Feed; some Notes on Deniability, Obfuscation, and Multiparty Computation; blockchain-Based Secured Ration Distribution System; autoBloc: Blockchain-Based Automotive Supply Chain Management; BHealth: A Blockchain-Based Platform for Healthcare Data; design of a Mechanism for the Analysis of Cybersecurity Breaches and Their Ripple Effect on Global Financial Market; Secure Management of Patient Test Data Using Blockchain and IPFS; intrusion Detection System Using Stacked Ensemble Learning with Light Gradient Boosting Machine and Decision Tree; A Post-benchmarking Framework Towards Evaluating and Ranking Deep Learning Models for Breast Cancer Detection Using Hybrid MCDM; case-Based Spam Filtering for Encrypted Emails; designing and Deploying Blockchain with Truffle and Smart Contracts; ESMDP: Encrypted ML Framework for Secure Medical Data Processing; QRCrop: A QR Code-Based Edge–Cloud Framework for Crop Yield Prediction.</t>
  </si>
  <si>
    <t>2-s2.0-85219172557</t>
  </si>
  <si>
    <t>Majumder, S.; Paul, A.; Schwenker, F.; Sarkar, R.</t>
  </si>
  <si>
    <t>Majumder, Surya (58651825300); Paul, Aishik (59134262000); Schwenker, Friedhelm (6701325661); Sarkar, Ram Krishna (13607482600)</t>
  </si>
  <si>
    <t>Automated classification of breast cancer can often save lives, as manual detection is usually time-consuming expensive. Since the last decade, deep learning techniques have been most widely used for the automatic classification of breast cancer using histopathology images. This paper has performed the binary and multi-class classification of breast cancer using a transfer learning-based ensemble model. To analyze the correctness and reliability of the proposed model, we have used an imbalance IDC dataset, an imbalance BreakHis dataset in the binary class scenario, and a balanced BACH dataset for the multi-class classification. A lightweight shallow CNN model with batch normalization technology to accelerate convergence is aggregated with lightweight MobileNetV2 to improve learning and adaptability. The aggregation output is fed into a multilayer perceptron to complete the final classification task. The experimental study on all three datasets was performed and compared with the recent works. We have fine-tuned three different pre-trained models (ResNet50, InceptionV4, and MobilNetV2) and compared it with the proposed lightweight ensemble model in terms of execution time, number of parameters, model size, etc. In both the evaluation phases, it is seen that our model outperforms in all three datasets. © 2004-2012 IEEE.</t>
  </si>
  <si>
    <t>58651825300; 59134262000; 6701325661; 13607482600</t>
  </si>
  <si>
    <t>SAWL-Net: A Statistical Attentions and Wavelet Aided Lightweight Network for Classification of Cancers in Histopathological Images</t>
  </si>
  <si>
    <t>IEEE Transactions on Artificial Intelligence</t>
  </si>
  <si>
    <t>Patel, W.; Koyuncu, H.; Ganatara, A.</t>
  </si>
  <si>
    <t>10.1109/TAI.2025.3536424</t>
  </si>
  <si>
    <t>Revolutionizing Cancer Diagnosis in IoMT with a Novel Lightweight Deep Learning Model for Histopathological Image Classification</t>
  </si>
  <si>
    <t>https://www.scopus.com/inward/record.uri?eid=2-s2.0-85217015380&amp;doi=10.1109%2FTAI.2025.3536424&amp;partnerID=40&amp;md5=3a16379b22710aecb9e00307936919cb</t>
  </si>
  <si>
    <t>https://www.scopus.com/inward/record.uri?eid=2-s2.0-85190115921&amp;doi=10.1109%2FMoSICom59118.2023.10458800&amp;partnerID=40&amp;md5=fd257c5075ecd94fecf725ea2a1fdc8a</t>
  </si>
  <si>
    <t>Ref:36</t>
  </si>
  <si>
    <t>Zahir S.; Amir A.; Zahri N.A.H.; Ang W.C.</t>
  </si>
  <si>
    <t>Addressing the formidable challenges posed by the diagnosis and management of various types of cancer, including breast, colon, lung, and colorectal cancer, demands innovative solutions to streamline histopathological analysis processes. In this study, we propose a novel lightweight convolutional neural network (CNN) called statistical attentions and wavelet aided lightweight network (SAWL-Net) architecture based on MobileNetV2 equipped with hybrid statistical similarity and wave format-aided attention mechanisms, specifically tailored to the demands of cancer histopathology. By leveraging the capabilities, our model incorporates a lightweight design while ensuring high-performance outcomes. We introduce a unique combination of Pearson correlation coefficient, Spearman rank correlation, and cosine similarity metrics, alongside a specialized wave conversion technique to enhance the detection of similarities across different channels of histopathological data, while providing a holistic approach to the model. In this study, we have considered breast, colorectal, and lung &amp; colon cancer datasets for experimentation. Notably, our model surpasses prevailing state-of-the-art methodologies, showcasing its efficacy in optimizing diagnostic accuracy and expediting treatment strategies for varied cancer types. Our codes are publicly available at the GitHub repository. © IEEE. 2020 IEEE.</t>
  </si>
  <si>
    <t>https://www.scopus.com/inward/record.uri?eid=2-s2.0-85102409958&amp;doi=10.1088%2f1742-6596%2f1755%2f1%2f012026&amp;partnerID=40&amp;md5=b8964f421e7f2dd76143949ad8c5cf1b</t>
  </si>
  <si>
    <t>Breast cancer; colon cancer; colorectal cancer; cosine similarity; histopathological image; lung cancer; Pearson correlation coefficient; similarity attention; spearman rank correlation</t>
  </si>
  <si>
    <t>Convolutional neural networks; Breast Cancer; Colon cancer; Colorectal cancer; Cosine similarity; Histopathological images; Innovative solutions; Lung Cancer; Pearson correlation coefficients; Similarity attention; Spearman rank correlation; Lung cancer</t>
  </si>
  <si>
    <t>All Open Access; Hybrid Gold Open Access</t>
  </si>
  <si>
    <t>2-s2.0-85217015380</t>
  </si>
  <si>
    <t>Hasan Mahfuz, M.M.H.; Islam, M.R.; Malek, N.F.A.; Habaebi, M.H.; Sakib, N.; Baladi, E.</t>
  </si>
  <si>
    <t>Hasan Mahfuz, Mohammad Muntuseer (57219986517); Islam, Md Rafiqul (55353037200); Malek, N. A. (36782719700); Habaebi, Mohamed Hadi (6602298043); Sakib, Nazmus (57202908915); Baladi, Elham (57056315500)</t>
  </si>
  <si>
    <t>57219986517; 55353037200; 36782719700; 6602298043; 57202908915; 57056315500</t>
  </si>
  <si>
    <t>WEARABLE TEXTILE PATCH DSSRS ANTENNA FOR BODY TUMORS DETECTION WITH REDUCED SAR</t>
  </si>
  <si>
    <t>IIUM Engineering Journal</t>
  </si>
  <si>
    <t>10.31436/IIUMEJ.V26I1.3221</t>
  </si>
  <si>
    <t>https://www.scopus.com/inward/record.uri?eid=2-s2.0-85216392400&amp;doi=10.31436%2FIIUMEJ.V26I1.3221&amp;partnerID=40&amp;md5=d5c4afba48d38caacbbeceee7ead2d51</t>
  </si>
  <si>
    <t>The purpose of this study is to present a lightweight wearable (jeans) monopole antenna configuration for body area network (BAN) communication, breast and head tumors detections with back lobe reduction (i.e., low SAR), and it does so without introducing any special methodologies like as, AMC, EBG, HIS. The planned antenna has dual symmetrical slots as well as a ring-shaped slot (DSSRS) at the top, and it is in the form of a radiating rectangular patch with a ground plane. The design procedure has been finished with the help of CST MWS, and the next step will be to fine-tune the parameters of the antenna structure to achieve resonance at the ISM band (5.79 GHz). Testing for BAN, breast, and brain tumor detection was done using this prototype. With the proper impedance matching, the antenna achieves an operational bandwidth of 5.798 GHz (5.739–5.865 GHz), 5.77 GHz (5.715–5.838 GHz), 5.77 GHz (5.718–5.843 GHz) and 5.78 GHz (5.725–5.834 GHz), with an overall peak gain of 8.18 dBi, 7.69 dBi, 5.73 dBi, and 4.59 dBi; when proposed antenna placed on the free space, on the body, on the breast, and the head respectively. The suggested antenna meets the specific absorption rate (SAR) standards given by the FCC (1 gm) and the ICNIRP (10 gm). © (2025), (International Islamic University Malaysia). All rights reserved.</t>
  </si>
  <si>
    <t>Antenna; Breast phantom; Cancer; Microwave; Tumor detection; Wideband</t>
  </si>
  <si>
    <t>Abdelli A.; Saouli R.; Djemal K.; Youkana I.</t>
  </si>
  <si>
    <t>2-s2.0-85216392400</t>
  </si>
  <si>
    <t>https://www.scopus.com/inward/record.uri?eid=2-s2.0-85099272967&amp;doi=10.1109%2fIPTA50016.2020.9286653&amp;partnerID=40&amp;md5=0e5c9704bfaae126c60106149b94f863</t>
  </si>
  <si>
    <t>Rai, H.M.; Yoo, J.; Agarwal, S.; Agarwal, N.</t>
  </si>
  <si>
    <t>Rai, Hari Mohan (55657949700); Yoo, Joon (7402295621); Agarwal, Saurabh (57190606444); Agarwal, Neha (57210697707)</t>
  </si>
  <si>
    <t>55657949700; 7402295621; 57190606444; 57210697707</t>
  </si>
  <si>
    <t>LightweightUNet: Multimodal Deep Learning with GAN-Augmented Imaging Data for Efficient Breast Cancer Detection</t>
  </si>
  <si>
    <t>Our proposed solution for breast cancer diagnosis offers a highly reliable and efficient alternative to the traditional manual examination method. By utilizing deep learning models designed with Convolutional Neural Networks (CNN), We have created a breast cancer detection system that is automated, inexpensive, and easy to transport. A system that significantly reduces the risk of delayed diagnosis and saves lives. This approach relies on an integrated ultrasensitive micro-bio-heat sensor array structured as a 3x3 grid using Altium software. The array functions as an embedded system aiming for the early identification of breast cancer. Leveraging IoT advancements, this system can connect with a server through smartphones. This study demonstrates the effectiveness of switch getting to know in histopathological photo classification. This research assesses the effectiveness of CNN models, both with and without transfer learning. It uses a pre-Trained VGG16 model for image classification and demonstrates its successful implementation on a Raspberry Pi. This highlights its efficiency when running on a lightweight and portable processor. Our experimental results show that our system achieves an accuracy of 78% on the BreakHis database and can run on a Raspberry Pi device with minimal resources. © 2023 IEEE.</t>
  </si>
  <si>
    <t>10.3390/bioengineering12010073</t>
  </si>
  <si>
    <t>Kausar, T.; Lu, Y.; Kausar, A.</t>
  </si>
  <si>
    <t>https://www.scopus.com/inward/record.uri?eid=2-s2.0-85215948352&amp;doi=10.3390%2Fbioengineering12010073&amp;partnerID=40&amp;md5=f556787566874720c7650cbe95e93047</t>
  </si>
  <si>
    <t>https://www.scopus.com/inward/record.uri?eid=2-s2.0-85176360213&amp;doi=10.1109%2FACCESS.2023.3326478&amp;partnerID=40&amp;md5=defa7bec33910c909d23e0d8c16b08b7</t>
  </si>
  <si>
    <t>Ref:42</t>
  </si>
  <si>
    <t>Breast cancer ranks as the second most prevalent cancer globally and is the most frequently diagnosed cancer among women; therefore, early, automated, and precise detection is essential. Most AI-based techniques for breast cancer detection are complex and have high computational costs. Hence, to overcome this challenge, we have presented the innovative LightweightUNet hybrid deep learning (DL) classifier for the accurate classification of breast cancer. The proposed model boasts a low computational cost due to its smaller number of layers in its architecture, and its adaptive nature stems from its use of depth-wise separable convolution. We have employed a multimodal approach to validate the model’s performance, using 13,000 images from two distinct modalities: mammogram imaging (MGI) and ultrasound imaging (USI). We collected the multimodal imaging datasets from seven different sources, including the benchmark datasets DDSM, MIAS, INbreast, BrEaST, BUSI, Thammasat, and HMSS. Since the datasets are from various sources, we have resized them to the uniform size of 256 × 256 pixels and normalized them using the Box-Cox transformation technique. Since the USI dataset is smaller, we have applied the StyleGAN3 model to generate 10,000 synthetic ultrasound images. In this work, we have performed two separate experiments: the first on a real dataset without augmentation and the second on a real + GAN-augmented dataset using our proposed method. During the experiments, we used a 5-fold cross-validation method, and our proposed model obtained good results on the real dataset (87.16% precision, 86.87% recall, 86.84% F1-score, and 86.87% accuracy) without adding any extra data. Similarly, the second experiment provides better performance on the real + GAN-augmented dataset (96.36% precision, 96.35% recall, 96.35% F1-score, and 96.35% accuracy). This multimodal approach, which utilizes LightweightUNet, enhances the performance by 9.20% in precision, 9.48% in recall, 9.51% in F1-score, and a 9.48% increase in accuracy on the combined dataset. The LightweightUNet model we proposed works very well thanks to a creative network design, adding fake images to the data, and a multimodal training method. These results show that the model has a lot of potential for use in clinical settings. © 2025 by the authors.</t>
  </si>
  <si>
    <t>breast cancer detection; deep learning; GAN-augmentation; lightweight architecture; LightweightUNet; multimodal approach; synthetic dataset generation</t>
  </si>
  <si>
    <t>2-s2.0-85215948352</t>
  </si>
  <si>
    <t>https://www.scopus.com/inward/record.uri?eid=2-s2.0-85065909723&amp;partnerID=40&amp;md5=1d86e21bff3a5377d0081b262702121e</t>
  </si>
  <si>
    <t>Patel, W.; Ganatra, A.; Ramani, B.</t>
  </si>
  <si>
    <t>Patel, Warish D. (56352392700); Ganatra, Amit P. (35100186600); Ramani, Bhupendra (57205389923)</t>
  </si>
  <si>
    <t>56352392700; 35100186600; 57205389923</t>
  </si>
  <si>
    <t>Integrating IoT and Machine Learning for Advanced Breast Cancer Detection: A Secure Framework for Enhanced Diagnostic Accuracy</t>
  </si>
  <si>
    <t>Panamerican Mathematical Journal</t>
  </si>
  <si>
    <t>10.52783/pmj.v35.i1.2045</t>
  </si>
  <si>
    <t>https://www.scopus.com/inward/record.uri?eid=2-s2.0-85214276563&amp;doi=10.52783%2Fpmj.v35.i1.2045&amp;partnerID=40&amp;md5=d88a7540acd4c0214bbc9d81a4e66daa</t>
  </si>
  <si>
    <t>In the past few decades, breast cancer has rapidly increased the death rate among women worldwide. An early diagnosis of such fatal disease is important for the best treatment and death rate reduction. Automatic diagnosis of breast cancer from histopathological images using artificial intelligence (AI) based methods is a top-priority research area in the biomedical field. However, automatic detection is challenging due to high resolution of histopathology images and the tremendous amount of parameters required by deep AI models. Due to high computational complexity and bulky memory usage, deep models suffer from inefficient inference that limits their application in resource-constrained platforms. To address this problem, a fast cancer detection strategy has been proposed to overcome the computational cost issue of deep automatic systems. Instead of directly using input images the wavelet transform (WT) is applied to decompose the images into different frequency bands and then only low frequency bands are subjected to our proposed lightweight deep convolutional neural network (CNN). The lightweight deep model is designed using invertible residual block module. The incorporation of invertible residual block module in the deep CNN model and the use of WT considerably reduces the computational cost of the proposed model, without a noticeable accuracy downgrade Further, the effect of various machine vision classifiers i.e. support vector machine (SVM), softmax, and K nearest neighbor classifier (KNN) on model performance is analyzed. Experiments are performed using three publicly available benchmark histopathology image datasets. The proposed model has shown multi-class classification accuracy of 96.25%, and 99.8% and 72.2%, on the international conference on image analysis and recognition (ICIAR 2018), BreakHis and Bracs datasets, respectively. The reported inference time per image of the proposed model is 0.67s, and 0.21s for ICIAR 2018 and BreakHis and Bracs images, respectively. © 2013 IEEE.</t>
  </si>
  <si>
    <t>Pramanik, R.; Pramanik, P.; Sarkar, R.</t>
  </si>
  <si>
    <t>Background: Breast cancer continues to be a major global health issue, with outmoded analytic methods often limited in their capacity for early detection. The emergence of telehealth care emphasizes the need for advanced, advanced diagnostic explanations. Objective: This study explores the possibility of integrating advanced technologies, such as thermal imaging cameras, with sophisticated ML algorithms, particularly CNNs, to enhance breast cancer discovery beyond the capabilities of conventional risk models. Method: We propose a pioneering predictive healthcare system that harnesses the IoT and EHRs for real-time, automated breast cancer detection. This system is designed to operate in various healthcare environments, including hospitals, nursing homes, and schools. Beyond early breast cancer detection, it seeks to identify other health issues using the shared rule of DL and IoT techniques. To maintain data integrity and protect patient confidentiality, the system implements strong security protocols, including encrypted data transmission, secure access controls, and adherence to healthcare data protection regulations. Results: The study explores the methodologies and technological frameworks necessary for developing this comprehensive cancer detection system. Emphasis is placed on secure data management practices and the implementation of security protocols to safeguard sensitive health information. Main Findings: This research assesses whether the proposed system can effectively address global challenges related to breast cancer detection and contribute to enhanced patient outcomes. The integration of advanced security features aims to defend patient data and certify the system's reliability and trustworthiness in diverse healthcare settings. Conclusion: This investigate evaluates capabilities of new health care system that combines smart technologies with ML methods to identify breast cancer and possibly other health problems at an early stage. Future investigate should focus on assessing the system’s practical feasibility and effectiveness in real-world scenarios, as well as its ability to uphold stringent security standards. This emphasizes its efficiency when operating on a lightweight and portable processor. Our experimental results indicate that our system achieves a 96.32% accuracy on the BreakHis database and can operate on a Raspberry Pi device with minimal resources. © 2025, International Publications. All rights reserved.</t>
  </si>
  <si>
    <t>AI and ML; EHR; Global Health Challenges; Initial discovery of breast cancer; IoT; Telehealth and automated healthcare</t>
  </si>
  <si>
    <t>2-s2.0-85214276563</t>
  </si>
  <si>
    <t>https://www.scopus.com/inward/record.uri?eid=2-s2.0-85147451303&amp;doi=10.1016%2Fj.eswa.2023.119643&amp;partnerID=40&amp;md5=fc712e932022324e8e6138185f3fbe26</t>
  </si>
  <si>
    <t>Ghosh, S.; Das, S.</t>
  </si>
  <si>
    <t>Ghosh, Susmita (57706890800); Das, Swagatam (24729258600)</t>
  </si>
  <si>
    <t>57706890800; 24729258600</t>
  </si>
  <si>
    <t>Enhancing Medical Image Analysis with MA-DTNet: A Dual Task Network Guided by Morphological Attention</t>
  </si>
  <si>
    <t>15312 LNCS</t>
  </si>
  <si>
    <t>10.1007/978-3-031-78198-8_19</t>
  </si>
  <si>
    <t>https://www.scopus.com/inward/record.uri?eid=2-s2.0-85212277710&amp;doi=10.1007%2F978-3-031-78198-8_19&amp;partnerID=40&amp;md5=fb93b8e821b817116b2170c0a9fada14</t>
  </si>
  <si>
    <t>Sanghavi F.; Kezebou L.; Panetta K.; Agaian S.</t>
  </si>
  <si>
    <t>https://www.scopus.com/inward/record.uri?eid=2-s2.0-85096352764&amp;doi=10.1117%2f12.2558613&amp;partnerID=40&amp;md5=e3195d06d9796930f404dc650b2565d0</t>
  </si>
  <si>
    <t>Accurate breast tumor segmentation and malignancy detection are crucial for early cancer diagnosis. In this context, we propose a novel lightweight multi-task learning framework, MA-DTNet, designed to perform both tasks simultaneously in an encoder-shared scenario. This approach leverages shared representations and contextual information, enabling mutual enhancement of the tasks. Unlike existing methods that require a large number of trainable parameters, MA-DTNet integrates a Spatial Morphological Attention (SMA) module alongside a Channel Attention (CA) mechanism to strategically enhance crucial morphological features and emphasize informative channels within the extracted representations. The SMA mechanism combines traditional morphological operations with trainable, adaptive structuring elements, effectively highlighting critical morphological attributes of regions of interest (ROIs) of various shapes and sizes within medical images. This targeted emphasis on morphological features translates to improved performance in both segmentation and classification tasks. Notably, MA-DTNet demonstrates superior performance compared to state-of-the-art multi-task learning (MTL) and single-task models on two publicly available breast ultrasound datasets. Specifically, on the UDIAT dataset, our approach achieves a 3.28% and 1.05% enhancement in dice score (segmentation) and F1 score (classification), respectively. Similarly, for the BUSI dataset, MA-DTNet exhibits a 1.62% and 4.96% improvement in dice score and accuracy, respectively. Significantly, MA-DTNet achieves these performance gains with significantly fewer trainable parameters than existing methods, underscoring its efficiency and potential for real-world applications. The method’s generalization ability is further tested on two additional multi-task learning tasks: segmenting and classifying glands in histology images and segmenting and classifying skin lesions in dermoscopic images. © The Author(s), under exclusive license to Springer Nature Switzerland AG 2025.</t>
  </si>
  <si>
    <t>Channel Attention; Medical Image Classification; Medical Image Segmentation; Multitask Learning; Spatial Morphological Attention Module</t>
  </si>
  <si>
    <t>Contrastive Learning; Image segmentation; Medical image processing; Attention mechanisms; Channel attention; Dual-tasks; Medical image analysis; Medical image classification; Medical image segmentation; Morphological features; Multitask learning; Performance; Spatial morphological attention module; Multi-task learning</t>
  </si>
  <si>
    <t>2-s2.0-85212277710</t>
  </si>
  <si>
    <t>Arthi, T.S.; Nagappan, N.; Singh, B.; Singh, A.; Tripathi, N.</t>
  </si>
  <si>
    <t>Arthi, T. S. (55811345700); Nagappan, Partheeban (58164322600); Singh, Bhoomika (59099139900); Singh, Aparajitha (59398149500); Tripathi, Nikhil (59398288600)</t>
  </si>
  <si>
    <t>55811345700; 58164322600; 59099139900; 59398149500; 59398288600</t>
  </si>
  <si>
    <t>Breast cancer diagnosis using machine learning model</t>
  </si>
  <si>
    <t>10.1201/9781003501244-58</t>
  </si>
  <si>
    <t>https://www.scopus.com/inward/record.uri?eid=2-s2.0-85208320170&amp;doi=10.1201%2F9781003501244-58&amp;partnerID=40&amp;md5=c834ecba2150c28ed276e45932a43501</t>
  </si>
  <si>
    <t>Breast cancer is one of the most common reasons for the premature death of women worldwide. However, early detection and diagnosis of the same can save many lives. Hence, computer scientists across the world are also striving to develop reliable models to deal with this disease. One of the reliable methods of detecting breast cancer is through thermal images or thermograms. In medical image analysis, the current research trend is the use of deep learning (DL) models. However, many state-of-the-art DL models generate a large number of features and for processing those features we need a significant amount of memory and computation time. To address this issue, we have proposed a lightweight model to detect signs of abnormality in breast thermograms using a combination of transfer learning-based DL model and feature selection approaches. At first, we employed a deep learning model, called SqueezeNet 1.1 (pre-trained on the ImageNet dataset), fine-tuned on the breast cancer thermal images for the feature extraction purpose. Then a hybrid of Genetic Algorithm (GA) and Grey Wolf Optimizer (GWO) is used to reduce the dimension of the obtained feature vector. Before that, a chaotic map is used to create the initial population of GA. The proposed model performs very well in detecting and differentiating malignant and healthy breasts. We have evaluated our model on a publicly available dataset, namely Database For Mastology Research (DMR-IR) and achieved 100% accuracy on the test set using only 3% features extracted by the SqueezeNet 1.1 model. © 2023 Elsevier Ltd</t>
  </si>
  <si>
    <t>Gnanaprakash, V.; Ali, K.; Preethi, D.; Saranya, N.; Nivetitha, R.K.</t>
  </si>
  <si>
    <t>Requested fulltext</t>
  </si>
  <si>
    <t>A Lightweight CNN Model for Breast Cancer Classification</t>
  </si>
  <si>
    <t>2023 31st Irish Conference on Artificial Intelligence and Cognitive Science, AICS 2023</t>
  </si>
  <si>
    <t>https://www.scopus.com/inward/record.uri?eid=2-s2.0-85187778482&amp;doi=10.1109%2FICDSAAI59313.2023.10452524&amp;partnerID=40&amp;md5=b9ce44cd5925d141f7b3aaabdb502ce1</t>
  </si>
  <si>
    <t>https://www.scopus.com/inward/record.uri?eid=2-s2.0-85189982479&amp;partnerID=40&amp;md5=79f59d0abd7b45837c07bbc68f2ad606</t>
  </si>
  <si>
    <t>Early and accurate detection of breast cancer, particularly Invasive Ductal Carcinoma (IDC), is critical for improving patient outcomes. Traditional diagnostic methods like histopathology and mammography have limitations in terms of time, cost, and potential subjectivity. This study proposes a lightweight Machine Learning (ML) model for IDC classification using digital whole-mount breast cancer slide images. The model aims to achieve high accuracy while being suitable for deployment in resource-constrained environments. We evaluate our model on a publicly available breast histopathology dataset and compare its performance with other Deep Learning (DL) models, focusing on both accuracy and computational efficiency. The results demonstrate that our model achieves a high classification accuracy (around 89.3 percent) with minimal processing power and memory requirements. Furthermore, successful deployment on a Raspberry Pi embedded system validates its potential for real-world application in resource-limited settings, potentially leading to improved breast cancer diagnosis accessibility. Index Terms—Bi-directional Long Short-Term Memory (BiLSTM), Convolutional Neural Network (CNN), Deep Learning (DL), Invasive Ductal Carcinoma (IDC), Multilayer Perceptron (MLP), Raspberry Pi, Tiny Machine Learning (TinyML). © 2025 the Author(s).</t>
  </si>
  <si>
    <t>Adversarial machine learning; Contrastive Learning; Deep neural networks; Diseases; Long short-term memory; Lung cancer; Mammography; Multilayer neural networks; Breast Cancer; Breast cancer diagnosis; Diagnostic methods; High-accuracy; Invasive ductal carcinomata; Learning models; Lightweight machines; Machine learning models; Performance; Time cost; Convolutional neural networks</t>
  </si>
  <si>
    <t>2-s2.0-85208320170</t>
  </si>
  <si>
    <t>7th International Conference on Innovative Computing and Communication, ICICC 2024</t>
  </si>
  <si>
    <t>1039 LNNS</t>
  </si>
  <si>
    <t>https://www.scopus.com/inward/record.uri?eid=2-s2.0-85207684893&amp;partnerID=40&amp;md5=f05f598082aaa1913b944d1b0ba9fd08</t>
  </si>
  <si>
    <t>Nissar I.; Alam S.; Masood S.; Kashif M.</t>
  </si>
  <si>
    <t>MOB-CBAM: A dual-channel attention-based deep learning generalizable model for breast cancer molecular subtypes prediction using mammograms</t>
  </si>
  <si>
    <t>https://www.scopus.com/inward/record.uri?eid=2-s2.0-85188816627&amp;doi=10.1016%2fj.cmpb.2024.108121&amp;partnerID=40&amp;md5=017446da5e7cbcca296edab24bf31ba0</t>
  </si>
  <si>
    <t>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t>
  </si>
  <si>
    <t>2-s2.0-85207684893</t>
  </si>
  <si>
    <t>Gong, J.; Ye, P.; Chang, Z.</t>
  </si>
  <si>
    <t>Gong, Jinqi (58762728700); Ye, Ping (59080557400); Chang, Zhaohua (57207019571)</t>
  </si>
  <si>
    <t>58762728700; 59080557400; 57207019571</t>
  </si>
  <si>
    <t>Computer Methods in Biomechanics and Biomedical Engineering</t>
  </si>
  <si>
    <t>10.1080/10255842.2023.2292009</t>
  </si>
  <si>
    <t>https://www.scopus.com/inward/record.uri?eid=2-s2.0-85179734403&amp;doi=10.1080%2F10255842.2023.2292009&amp;partnerID=40&amp;md5=4c588f2638cac677f5d89fbcf609c9bc</t>
  </si>
  <si>
    <t>Breast cancer is a dominant cancer worldwide and is increasing in developing countries where the majority of cases are diagnosed in later stage. Early detection of cancer helps to control it in the early stage itself and decrease the death rate. There were over 2 million new cases in 2021, making it a significant health problem in present days. Malignant is the cancer cells that invade and kill nearby tissue and spread into different parts of the body. Unlike Malignant, Benign does not invade to other parts of the body. The key challenge is to classify the tumor as malignant or benign. To cater to this problem, novel Convolutional Neural Network (CNN) architecture is introduced to identify and classify the tumor as either malignant or benign. The proposed CNN model is experimented on the Wisconsin Breast Cancer Dataset (WBCD) and it is able to achieve 99% of accuracy. © 2023 IEEE.</t>
  </si>
  <si>
    <t>Kotei, E.; Thirunavukarasu, R.</t>
  </si>
  <si>
    <t>Liu S.; Ren J.; Chen Z.; Hu K.; Xiao F.; Li X.; Gao X.</t>
  </si>
  <si>
    <t>https://www.scopus.com/inward/record.uri?eid=2-s2.0-85169909058&amp;doi=10.1007%2Fs11042-023-16625-x&amp;partnerID=40&amp;md5=76cfde977cc0971a33c85307882ff412</t>
  </si>
  <si>
    <t>https://www.scopus.com/inward/record.uri?eid=2-s2.0-85100334328&amp;doi=10.1109%2fBIBM49941.2020.9313511&amp;partnerID=40&amp;md5=5fdcf38399d717deb67a967b5e283de3</t>
  </si>
  <si>
    <t>The prevalence of breast cancer as a major global cancer has underscored the importance of postoperative recovery for breast cancer patients. Among the issues, postoperative patients are prone to spinal deformities, including scoliosis, which has drawn significant attention from healthcare professionals. The primary aim of this study is to design a postoperative recovery platform for breast cancer patients that can effectively detect posture changes, provide feedback and support to medical staff, assist doctors in formulating recovery plans, and prevent spinal deformities. The feasibility of the recovery platform is also validated through experiments. The development and validation of the experimental recovery platform. The recovery platform includes instrument design, patient data collection, model training and fine-tuning, and postoperative body posture evaluation by comparing preoperative and postoperative conditions. The evaluation results are provided to doctors to facilitate the formulation of personalized postoperative recovery plans. This paper comprehensively designs and implements the recovery platform and verifies its feasibility through simulation experiments. Statistical methods were employed for the validation of the rehabilitation platform in simulated experiments, with a significance level of p &lt; 0.05. In comparison to static assessments like CT scans, this paper introduces a dynamic detection method that provides a more insightful analysis of body posture. The experiments also demonstrate the preventive capability of this method against post-operative spinal deformities, ultimately enhancing patients’ self-image, restoring their confidence, and enabling them to lead more fulfilling lives. © 2023 Informa UK Limited, trading as Taylor &amp; Francis Group.</t>
  </si>
  <si>
    <t>Breast cancer; dynamic detection; gait recognition; MobileNet-LSTM; postoperative rehabilitation; spinal deformation</t>
  </si>
  <si>
    <t>Diseases; Image enhancement; Long short-term memory; Patient monitoring; Patient treatment; Pattern recognition; Recovery; Body postures; Breast Cancer; Cancer patients; Dynamic detection; Gait recognition; Mobilenet-LSTM; Postoperative rehabilitations; Recovery plans; Spinal deformation; Spinal deformity; Computerized tomography; acceleration; adult; angular velocity; Article; artificial intelligence; artificial neural network; body position; breast cancer; cancer rehabilitation; cancer surgery; computer aided design; computer assisted tomography; computer language; contact angle; convolution algorithm; convolutional neural network; enhanced recovery after surgery; female; graphics processing unit; human; image processing; intelligent training; learning algorithm; lightweight artificial intelligence algorithm; long short term memory network; major clinical study; mastectomy; mathematical computing; physical parameters; pointwise convolution; postoperative care; postoperative complication; program feasibility; spine malformation; wireless communication; algorithm; breast tumor; diagnostic imaging; postoperative period; rehabilitation; surgery; Algorithms; Artificial Intelligence; Breast Neoplasms; Female; Humans; Postoperative Period; Posture</t>
  </si>
  <si>
    <t>2-s2.0-85179734403</t>
  </si>
  <si>
    <t>Sreekala, K.; Sahoo, J.</t>
  </si>
  <si>
    <t>Sreekala, Kaiprappady Kumaran (59956412400); Sahoo, Jayakrushna (57208820203)</t>
  </si>
  <si>
    <t>59956412400; 57208820203</t>
  </si>
  <si>
    <t>Optimized Lightweight Temporal Attention-Based Convolutional Neural Network Espoused Automatic Diagnosis and Classification of Breast Cancer</t>
  </si>
  <si>
    <t>Biomedical Materials and Devices</t>
  </si>
  <si>
    <t>10.1007/s44174-025-00527-7</t>
  </si>
  <si>
    <t>https://www.scopus.com/inward/record.uri?eid=2-s2.0-105024009698&amp;doi=10.1007%2Fs44174-025-00527-7&amp;partnerID=40&amp;md5=4da6f0308fefc016ed35c08d079c86ab</t>
  </si>
  <si>
    <t>Ref;43</t>
  </si>
  <si>
    <t>Roslidar R.; Rahman A.; Muharar R.; Syahputra M.R.; Arnia F.; Syukri M.; Pradhan B.; Munadi K.</t>
  </si>
  <si>
    <t>https://www.scopus.com/inward/record.uri?eid=2-s2.0-85087800211&amp;doi=10.1109%2fACCESS.2020.3004056&amp;partnerID=40&amp;md5=8b8c0baacd2c3f43dab0543284b5124e</t>
  </si>
  <si>
    <t>Breast cancer is still a life-threatening and common disease in women globally. Early identification is essential to improve outcomes and lower death rates. Recently, number of innovative approaches has been developed for creating an efficient diagnosis and classification of such a harmful sort of cancer. But there is a lack of accuracy. For improving diagnostic accuracy and minimizing false negatives, this research proposes an optimized deep learning model called LTACNN-ADC-BC (Lightweight Temporal Attention-based Convolutional Neural Network for Automatic Detection with Classification of Breast Cancer). The proposed model analyzes mammography images through Multi-window Savitzky–Golay Filter (MWSGF) for noise removal, followed by feature extraction and classification through a Lightweight Temporal Attention-Based Convolution Neural Network (LTACNN). For further optimization, the model incorporates the Stock Exchange Trading Optimization Algorithm (SETOA) for the fine-tuning of network parameters. The proposed approach is tested with MIAS dataset, real-time dataset, and CBIS-DDSM dataset. Performance indicators reflect remarkable improvements over prior methods, with the model identifying 99.51% accuracy and 0.9992 AUC for MIAS, 99.26% accuracy for the real-time dataset, and 98.54% accuracy with 0.983 AUC for CBIS-DDSM dataset. These performances indicate the efficacy of the LTACNN-ADC-BC method in differentiating between normal, benign, and malignant cases. The LTACNN-ADC-BC model has strong potential for integration into computer-assisted diagnostic systems. It provides improved assistance to radiologists for the diagnosis and screening of breast cancer. © The Author(s), under exclusive licence to Springer Science+Business Media, LLC, part of Springer Nature 2025.</t>
  </si>
  <si>
    <t>Lightweight temporal attention-based convolution neural network; Multi-window Savitzky-Golay filter; Stock exchange trading optimization algorithm; Wavelet scattering transform</t>
  </si>
  <si>
    <t>sn</t>
  </si>
  <si>
    <t>aip</t>
  </si>
  <si>
    <t>The World Health Organization (WHO) has identified breast cancer and tuberculosis (TB) as major global health issues. While breast cancer is a top killer of women, TB is an infectious disease caused by a single bacterium with a high mortality rate. Since both TB and breast cancer are curable, early screening ensures treatment. Medical imaging modalities, such as chest X-ray radiography and ultrasound, are widely used for diagnosing TB and breast cancer. Artificial intelligence (AI) techniques are applied to supplement the screening process for effective and early treatment due to the global shortage of radiologists and oncologists. These techniques fast-track the screening process leading to early detection and treatment. Deep learning (DL) is the most used technique producing outstanding results. Despite the success of these DL models in the automatic detection of TB and breast cancer, the suggested models are task-specific, meaning they are disease-oriented. Again, the complexity and weight of the DL applications make it difficult to apply the models on edge devices. Motivated by this, a Multi Disease Visual Attention Condenser Network (MD-VACNet) got proposed for multiple disease identification from different medical image modalities. The network architecture got designed automatically through a machine-driven design exploration with generative synthesis. The proposed MD-VACNet is a lightweight stand-alone visual recognition deep neural network based on VAC with a self-attention mechanism to run on edge devices. In the experiment, TB was identified based on chest X-ray images and breast cancer was based on ultrasound images. The suggested model achieved a 98.99% accuracy score, a 99.85% sensitivity score, and a 98.20% specificity score on the x-ray radiographs for TB diagnosis. The model also produced a cutting-edge performance on breast cancer classification into benign and malignant, with accuracy, sensitivity and specificity scores of 98.47%, 98.42%, and 98.31%, respectively. Regarding model architectural complexity, MD-VACNet is simple and lightweight for edge device implementation. © The Author(s), under exclusive licence to Springer Science+Business Media, LLC, part of Springer Nature 2023.</t>
  </si>
  <si>
    <t>2-s2.0-105024009698</t>
  </si>
  <si>
    <t>Nissar, I.; Alam, S.; Masood, S.; Kashif, M.</t>
  </si>
  <si>
    <t>15th International Conference on Recent Trends in Artificial Intelligence and Data Sciences, CONFLUENCE 2025</t>
  </si>
  <si>
    <t>Lecture Notes in Electrical Engineering</t>
  </si>
  <si>
    <t>1447 LNEE</t>
  </si>
  <si>
    <t>https://www.scopus.com/inward/record.uri?eid=2-s2.0-85188816627&amp;doi=10.1016%2Fj.cmpb.2024.108121&amp;partnerID=40&amp;md5=8ed2ec627b561421c7ccb03952f82208</t>
  </si>
  <si>
    <t>https://www.scopus.com/inward/record.uri?eid=2-s2.0-105023326079&amp;partnerID=40&amp;md5=215c93f318498de8193b7734eb137ee9</t>
  </si>
  <si>
    <t>Summary</t>
  </si>
  <si>
    <t>Strength</t>
  </si>
  <si>
    <t>Weakness</t>
  </si>
  <si>
    <t>Remark</t>
  </si>
  <si>
    <t>The proceedings contain 46 papers. The special focus in this conference is on Recent Trends in Artificial Intelligence and Data Sciences. The topics include: Comparative Analysis of Feature Selection Techniques for Malware Detection in URLs; google and Flower Federated Learning Frameworks Comparison in Bug Prediction in Terms of Flexibility and Technical Factors; exploring Sentiments in Stack Overflow Score and Discussion: A Dual Approach with Machine Learning Models and Expert Evaluation; An AI-Enhanced Framework for Mental Health Management; Advancing Diabetic Retinopathy Detection Through Collaborative Vision Transformer and CNN Architectures Integrated with Explainable AI; diagnosis and Prediction of Multiple Sclerosis Disease Using Quantum Machine Learning Classifiers; predictive Modeling for Breast Cancer Diagnosis Using Machine Learning Algorithms; early Detection of Cardiovascular Disease Through the Utilization of Multiple Machine Learning Techniques; early Prediction and Detection of Liver Disease Using Deep Learning; predictive Analytics Based on Public Health Response Using Epidemiological Models: A Data-Driven Approach; prognosis and Diagnosis of Diabetes Through Minkowski Distance Metric; mental Health Reaction Based on Behavioural Analysis and Digital Device Usage Using Machine Learning Algorithm; Automated Onset Seizure Detection Using EEG Signals by Machine Learning; Toward Secure and Efficient Brain Tumor Detection: Federated Learning for Privacy-Preserving MRI Analysis; a Framework for Cross-dataset Semi-supervised Segmentation of Liver Hepatocellular Carcinoma in Whole Slide Images; Segmentation of Tumour in Human Brain MRI Using Diffusion Filter and Otsu Thresholding; improving Coronary Artery Disease Prediction Accuracy with Novel Machine Learning Algorithms; An Improved Genetic Algorithm Optimization Random Forest (GAORF) Machine Learning Model for Cervical Cancer Prediction; analysing Lightweight Language Models for Real-Time Mental Health Counselling: A Data-Driven Approach.</t>
  </si>
  <si>
    <t>In \cite{li2018efficient} a Region-based CNN (RCNN) for detecting mitosis figures is developed. The system operates in three step: first it locates the region of interest using a feature-based random forest classifier; second a CNN analysis the region and filters out those that are not mitoses; and finally the predictor stage takes the (filterate) region and performs a scanning operation with the same CNN to look a mitotic figure.</t>
  </si>
  <si>
    <t xml:space="preserve">It breaks detection into localization, filtration, and detection stages to improve the accuracy of the CNN. </t>
  </si>
  <si>
    <t>2-s2.0-105023326079</t>
  </si>
  <si>
    <t>Esen, G.; Nurtas, M.; La Paglia, L.; Amankulov, J.; Matkerim, B.; Altaibek, A.</t>
  </si>
  <si>
    <t xml:space="preserve">unread </t>
  </si>
  <si>
    <t>Esen, Gani (59514207300); Nurtas, Marat (57189710532); La Paglia, Laura (57213540435); Amankulov, Jandos Mukhtarovich (57223334694); Matkerim, Bazargul (55898795100); Altaibek, Aizhan (57218957117)</t>
  </si>
  <si>
    <t>However, this will increase the system's latency.</t>
  </si>
  <si>
    <t>59514207300; 57189710532; 57213540435; 57223334694; 55898795100; 57218957117</t>
  </si>
  <si>
    <t>3rd International Conference on Artificial Intelligence and Speech Technology, AIST 2021</t>
  </si>
  <si>
    <t>Multi-Task Attention-Guided Deep Learning for Simultaneous Breast Cancer Detection and Density Estimation in Mammography</t>
  </si>
  <si>
    <t>IEEE Access</t>
  </si>
  <si>
    <t>https://www.scopus.com/inward/record.uri?eid=2-s2.0-85124670761&amp;partnerID=40&amp;md5=74871ff483593045ff21f5c5f621c2bf</t>
  </si>
  <si>
    <t>10.1109/ACCESS.2025.3634473</t>
  </si>
  <si>
    <t>https://www.scopus.com/inward/record.uri?eid=2-s2.0-105022621387&amp;doi=10.1109%2FACCESS.2025.3634473&amp;partnerID=40&amp;md5=2cb3cd8eee3e3601b19971294596ca22</t>
  </si>
  <si>
    <t>we can call this a Multi-stage ML. Since it breaks the detection into several stages of operation.</t>
  </si>
  <si>
    <t>Added to survey</t>
  </si>
  <si>
    <t>In \cite{oliveira2019lightweight}, a lightweight DL pipeline for detecting anomalies in mammogram images was developed. The system uses a three-stage multi-stage ML. It uses a pre-existing CNN architecture (ResNet50) trained on Imagenet is used for mass detection, another CNN architecture (VGG16) is used for false-positive (FP) reduction, and a shortest path technique proposed in \cite{cardoso2015closed} for contour refinement. Some authors consider ResNet50 as a heavyweight architecture \cite{abdelli2020combined}.</t>
  </si>
  <si>
    <t>The system uses transfer learning to reduce training time.</t>
  </si>
  <si>
    <t>The threshold value (T) that classifies a region in the first stage severely affects the performance of the system.</t>
  </si>
  <si>
    <t>Multi-stage ML.</t>
  </si>
  <si>
    <t>Background and objective: Deep Learning models have emerged as a significant tool in generating efficient solutions for complex problems including cancer detection, as they can analyze large amounts of data with high efficiency and performance. Recent medical studies highlight the significance of molecular subtype detection in breast cancer, aiding the development of personalized treatment plans as different subtypes of cancer respond better to different therapies. Methods: In this work, we propose a novel lightweight dual-channel attention-based deep learning model MOB-CBAM that utilizes the backbone of MobileNet-V3 architecture with a Convolutional Block Attention Module to make highly accurate and precise predictions about breast cancer. We used the CMMD mammogram dataset to evaluate the proposed model in our study. Nine distinct data subsets were created from the original dataset to perform coarse and fine-grained predictions, enabling it to identify masses, calcifications, benign, malignant tumors and molecular subtypes of cancer, including Luminal A, Luminal B, HER-2 Positive, and Triple Negative. The pipeline incorporates several image pre-processing techniques, including filtering, enhancement, and normalization, for enhancing the model's generalization ability. Results: While identifying benign versus malignant tumors, i.e., coarse-grained classification, the MOB-CBAM model produced exceptional results with 99 % accuracy, precision, recall, and F1-score values of 0.99 and MCC of 0.98. In terms of fine-grained classification, the MOB-CBAM model has proven to be highly efficient in accurately identifying mass with (benign/malignant) and calcification with (benign/malignant) classification tasks with an impressive accuracy rate of 98 %. We have also cross-validated the efficiency of the proposed MOB-CBAM deep learning architecture on two datasets: MIAS and CBIS-DDSM. On the MIAS dataset, an accuracy of 97 % was reported for the task of classifying benign, malignant, and normal images, while on the CBIS-DDSM dataset, an accuracy of 98 % was achieved for the classification of mass with either benign or malignant, and calcification with benign and malignant tumors. Conclusion: This study presents lightweight MOB-CBAM, a novel deep learning framework, to address breast cancer diagnosis and subtype prediction. The model's innovative incorporation of the CBAM enhances precise predictions. The extensive evaluation of the CMMD dataset and cross-validation on other datasets affirm the model's efficacy. © 2024 Elsevier B.V.</t>
  </si>
  <si>
    <t>Authors in \cite{elbashir2019lightweight} developed a lightweight CNN with two Conv-2D layers and two fully connected layers. The CNN detects BC through gene expressions. It was trained on the Cancer Genome Atlas (TCGA) dataset. The authors converted the expressions into 2D images and used edge detection to improve the performance of the CNN. It outperformed SVM, AlexNet, and VGG16 in accuracy, specificity, and precision. But they have better F-measure and sensitivity.</t>
  </si>
  <si>
    <t>Converting text to image and enhancing the image with image detection makes it easy to develop an accurate, yet lightweight CNN.</t>
  </si>
  <si>
    <t>The system has poor F-measure and sensitivity compared to SVM, AlexNet, and VGG16.</t>
  </si>
  <si>
    <t>Raiaan, M.A.K.; Fahad, N.M.; Mukta, M.S.H.; Shatabda, S.</t>
  </si>
  <si>
    <t>Early detection of breast cancer is critical for improving patient outcomes, and deep learning (DL) has shown promise in mammographic analysis. However, many existing systems tackle a single task (e.g., malignancy classification) and provide limited interpretability, which hinders clinical adoption. We present a multi-task, attention-guided framework that jointly predicts malignancy (benign vs. malignant) and BI-RADS breast density (A–D) from a single mammogram while producing interpretable attention maps. The architecture couples a pretrained convolutional backbone with lightweight channel–spatial attention and two task-specific heads. We evaluate six backbones (ResNet-50, DenseNet-121, EfficientNet-B0/B3/B7, MobileNetV3-Large) under a rigorous evaluation protocol with stratified hold-out split (64%/16%/20%) and 5-fold cross-validation. To support reliable deployment, we report comprehensive metrics including discrimination measures (ROC-AUC, PR-AUC, F1-score, sensitivity, specificity), calibration metrics (Brier score, Expected Calibration Error), and ablation studies contrasting single-task vs. multi-task learning and models with vs. without attention mechanisms. Across all evaluation protocols, multi-task learning consistently outperforms single-task baselines by 2.8% in pathology accuracy and 3.5% in density estimation, indicating that density cues provide complementary information for malignancy assessment. Among backbones, EfficientNet-B3 attains the strongest discrimination (AUC= 0.962, accuracy= 93.6%) on hold-out test with excellent calibration (Brier= 0.010), while MobileNetV3-Large achieves competitive performance (AUC= 0.940, accuracy= 91.2%) with only 4.26M parameters—an optimal accuracy–efficiency trade-off for resource-constrained deployment. Cross-validation results demonstrate robust generalization (AUC = 0.954 ± 0.003 , accuracy = 93.0 ± 0.3% ). Attention maps highlight diagnostically relevant regions including architectural distortions and suspicious calcifications, offering interpretable visual rationale aligned with radiological assessment. We discuss limitations including dataset size (410 images), class imbalance in rare density categories, and calibration challenges (ECE= 0.365–0.419), and outline directions for external validation on multi-institutional cohorts and integration of uncertainty quantification methods. © 2013 IEEE.</t>
  </si>
  <si>
    <t>Mammo-Light: A lightweight convolutional neural network for diagnosing breast cancer from mammography images</t>
  </si>
  <si>
    <t>Attention mechanism; breast cancer; clinical decision support; deep learning; interpretable AI; mammography; multi-task learning</t>
  </si>
  <si>
    <t>Calibration; Convolution; Decision support systems; Deep learning; Diseases; Economic and social effects; Learning systems; Multi-task learning; Pathology; X ray screens; Attention mechanisms; Breast Cancer; Clinical decision support; Cross validation; Density estimation; Evaluation protocol; Interpretable AI; Multi tasks; Multitask learning; Mammography</t>
  </si>
  <si>
    <t>https://www.scopus.com/inward/record.uri?eid=2-s2.0-85189017106&amp;doi=10.1016%2Fj.bspc.2024.106279&amp;partnerID=40&amp;md5=360a1c6c8c6f1498d762278d834c4bc2</t>
  </si>
  <si>
    <t>2-s2.0-105022621387</t>
  </si>
  <si>
    <t>Patel W.; Koyuncu H.; Ganatara A.</t>
  </si>
  <si>
    <t>Muchemi, W.; Subramanian, P.; Vengusamy, S.</t>
  </si>
  <si>
    <t>Muchemi, Wanjugu (60201722300); Subramanian, Preethi (57203986937); Vengusamy, Sivakumar (59727023200)</t>
  </si>
  <si>
    <t>60201722300; 57203986937; 59727023200</t>
  </si>
  <si>
    <t>One of the challenges of BC detection using ML is datasets. Most of the datasets are limited in size and may contain missing or inaccurate information. Additionally, the data may be imbalanced, meaning there are significantly more samples of one class than another, which can bias the performance of machine learning algorithms \cite{brownlee_2019,chatsonic2023BC}. Authors in \cite{abdelli2020combined} combined BreakHis \cite{spanhol2015dataset} and Invasive Ductal Carcinoma (IDC) \cite{dimitropoulos2017grading} datasets into one by introducing a grade 0 class to represent benign cases. Tests on ResNet50 and MobileNet show that the combined dataset helps the MLs detect cancer better.</t>
  </si>
  <si>
    <t>Investigating Lightweight efficient Net B3 for Image Classification in Breast Cancer Screening</t>
  </si>
  <si>
    <t>10.1109/ICMCTC62214.2025.11196182</t>
  </si>
  <si>
    <t>Liu et al. \cite{liu2020effidiag} proposed a CNN called EffiDiag for diagnosing BC on Whole Slide Images (WSI). A WSI is a single high-resolution digital file or image by scanning a complete microscope slide \cite{mbf_bioscience_2022}. EffiDiag consists of a U-net ML and a lightweight CNN. The U-net localizes the Region of Interest (ROI), while the lightweight CNN predicts the presence of cancer.</t>
  </si>
  <si>
    <t>https://www.scopus.com/inward/record.uri?eid=2-s2.0-105022262209&amp;doi=10.1109%2FICMCTC62214.2025.11196182&amp;partnerID=40&amp;md5=d9b404f5c4881a1e454c1ac12fa2a2e3</t>
  </si>
  <si>
    <t>https://www.scopus.com/inward/record.uri?eid=2-s2.0-85190115921&amp;doi=10.1109%2fMoSICom59118.2023.10458800&amp;partnerID=40&amp;md5=d1904627399374ef5395e4a8bf891c2e</t>
  </si>
  <si>
    <t>The authors argue that localizing ROI help reduce the need for complex diagnostic ML</t>
  </si>
  <si>
    <t>Multi-stage ML</t>
  </si>
  <si>
    <t>In \cite{laxmisagar2021design,laxmisagar2022detection} the authors developed a BC detector that uses both MobleNet and fully connected CNN. The system detects whether a specimen is Benign, In situ, Invasive or Malignant. It uses the MobileNet to carry out feature extraction then the CNN carries out the detection. They tested their system on the breast cancer histology images (BACH) dataset \cite{Guilherme2019grand} and obtained results in Table \ref{tab:perfSurvey}.</t>
  </si>
  <si>
    <t>The authors argue that stain removal techniques improve the performance of the system.</t>
  </si>
  <si>
    <t>It has low performance compared to SVM</t>
  </si>
  <si>
    <t>Scientists show that data augmentation and the number of epochs improve classification performance. They found that when augmented images are used in the training set, the average accuracy for MobileNet V1, ResNet50, and DenseNet201, improved by 5.5\%, 6.3\%, and 7.3\%, respectively \cite{ahmad2021comparative}.</t>
  </si>
  <si>
    <t>Single</t>
  </si>
  <si>
    <t>Kim and Yoon \cite{kim2022deep} developed a lightweight version of Xception called LightXception. Xception network is a 71-layer CNN for image classification, targeting the ImageNet dataset. LightXception contains only 35\% of Xception architecture, where the network's bottom layers and channels of convolution filters were removed. Thus, preventing overfitting, gradient vanishing, and saving computing resources. To avoid affecting the performance of the system, the authors split each image into smaller images (with overlaps) that fit the input layer of the ML rather than scaling them. The subsets are tested and the parent image is classified as malignant or benign through voting by threshold or averaging.</t>
  </si>
  <si>
    <t>The authors argue that the latest concepts such as depth-wise separable convolution and inverted residuals reduce the degradation of accuracy.</t>
  </si>
  <si>
    <t>Scaling images affect the performance of AI.</t>
  </si>
  <si>
    <t>Lightweight MLs (like MobileNet and ShuffleNet) that were developed by thinning the network architecture by reducing the number of parameters of neural networks lose accuracy.
Thus, such mobile neural networks are more focused on speed and efficiency over accuracy.</t>
  </si>
  <si>
    <t>Pramanik et al. \cite{pramanik2023breast} proposed a BC classification lightweight ML with a Genetic Algorithm (GA) and Grey Wolf Optimization (GWO)-based deep feature selection. The multi-stage ML uses SqueezeNet 1.1 \cite{iandola2016squeezenet} (pre-trained on the ImageNet dataset) for feature extraction. The dimensions of the extracted features are reduced through feature selection using a GA and GWO. Then the final dimension is inputted into a k-nn for classification. The system was tested on Database for Mastology Research (DMR-IR) dataset with 100\% accuracy.</t>
  </si>
  <si>
    <t>While breast cancer affects millions of women around the world, the high cost of diagnosis and treatment often makes it difficult for many to access proper medical care. This financial burden is especially heavy in low-income communities, where healthcare resources are limited and early detection tools may not be readily available. As a result, many cases go undiagnosed until the disease has progressed to a more serious stage, reducing the chances of successful treatment. At a localized stage, the 5-year survival rate is greater than 98% while at distant stages it reduces to 30%. The difference in the probability of survival relies in accurate diagnosis of breast cancer at the early stages. This paper employs a convolutional neural network on ultrasound and mammogram images and then compares the performance of the models. Modelling a CNN from scratch requires high computational power and time which was not feasible for use in medical personal for time sensitive illnesses like breast cancer. Transfer learning leveraged features learned in pre-trained models that reduced the computational resources required and time spent to develop the model. The pre-trained network applied was EfficientNetB3 as it is lightweight and a highly accurate framework for image classification. Various pretrained models, fine-tuning techniques and augmentations have been done and experimental results are shown. Previous works in breast cancer image classification have been scrutinized and some of the best methods were applied to this model. The best results were from ultrasound images, the model had the highest accuracy, F1-score, precision and recall of 90.82%, 90.92%, 91.20% and 90.82% respectively. The significance of this paper is to have identified a model that is easier to access and available and can be employed by professionals especially in developing nations where cancer is more prominent and fatal. Furthermore, to analyse whether ultrasound images have a possibility in the detection of cancer. © 2025 IEEE.</t>
  </si>
  <si>
    <t>The authors used transfer learning to avoid overfitting due to small datasets.</t>
  </si>
  <si>
    <t>Artificial Intelligence; bio-inspired computing; computational intelligence; convolutional neural networks; deep learning; supervised learning</t>
  </si>
  <si>
    <t>several stages may not fit for IoT devices.</t>
  </si>
  <si>
    <t>Computer aided diagnosis; Convolution; Diseases; Health care; Image analysis; Image classification; Mammography; Medical image processing; Neural networks; Supervised learning; Bio-inspired computing; Breast Cancer; Breast cancer screening; Convolutional neural network; Deep learning; Healthcare resources; High costs; Images classification; Low-income communities; Ultrasound images</t>
  </si>
  <si>
    <t>2-s2.0-105022262209</t>
  </si>
  <si>
    <t>Chen, L.; Zhang, X.</t>
  </si>
  <si>
    <t>Chen, Luming (60201248300); Zhang, Xinhe (55912013500)</t>
  </si>
  <si>
    <t>60201248300; 55912013500</t>
  </si>
  <si>
    <t>A Multi Disease Visual Attention Condenser Network (MD-VACNet) has been proposed by the authors in \cite{kotei2024visual}. The visual attention condenser is a self-attention-based CNN model designed to extract deep features from X-ray and ultrasound images. The MD-VACNet model employs spatial pyramid pooling to gather features from these images at various dimensions and unify them into a single scale. A pairwise constraint is used to minimize the distance between similar images and generated samples within one image category while maximizing the distance between dissimilar ones. The model achieved a 98.99% and 98.47% accuracy score for Tuberculosis and breast cancer diagnosis respectively.</t>
  </si>
  <si>
    <t>YOLO-MAFS: Multi-scale Attention Fusion Network for Precise Breast Cancer Segmentation in Ultrasound Images</t>
  </si>
  <si>
    <t>Engineering Letters</t>
  </si>
  <si>
    <t>Reduced complexity in terms of memory and power requirement compared to some edge devices architecture</t>
  </si>
  <si>
    <t>The model may suffer from generalization issues when given previously unknown data.</t>
  </si>
  <si>
    <t>Added to the paper</t>
  </si>
  <si>
    <t>https://www.scopus.com/inward/record.uri?eid=2-s2.0-105022247344&amp;partnerID=40&amp;md5=3e1c730e026d9d30a0b1de328a2663e1</t>
  </si>
  <si>
    <t>People of all countries, developed and developing alike endure cancer-related fatal diseases. The rate of breast cancer in females is increasing daily, partly due to ignorance and misdiagnosis in the early stages. Diagnosis of breast cancer accurately during its earlier stages of development can result in proper initial treatment for breast cancer. Artificial intelligence can aid in the acceleration and automation of breast cancer detection. Deep learning is decisive in effectively recognizing and classifying cancer on large datasets of medical images. In this paper, we propose a novel computer-aided classification approach, Mammo-Light for breast cancer prediction. Preprocessing strategies have been utilized to eradicate the noise and enhance mammogram lesions. Photometric augmentation techniques adapted to the preprocessed classes to balance and increase the size of the dataset. After that, a lightweight yet intuitive convolutional neural network is applied to classify breast cancer on the publicly available dataset CBIS-DDSM. For further validation of the proposed approach, we have used the MIAS dataset. Mammo-Light attained a 99.17% and 98.42% test accuracy respectively for CBIS-DDSM and MIAS datasets and outperformed state-of-the-art methods in terms of accuracy and other metrics. Due to being the lightweight model, Mammo-Light performs exceptionally well with fewer parameters and computational time, which can potentially contribute to the field of breast cancer early diagnosis and enable fast treatment. © 2024 Elsevier Ltd</t>
  </si>
  <si>
    <t>The authors in \cite{huangbm} proposed a lightweight architecture combining a bilinear structure and MobileNet-V3, called BM-Net, to efficiently analyze breast cancer from whole slide images (WSIs). Using a dataset from the ICIAR2018 BACH competition, which includes four classes (normal, benign, in situ carcinoma, and invasive carcinoma), they applied data augmentation and focal loss to manage class imbalance and achieved an accuracy of 0.88 in patch classification and an average score of 0.71.</t>
  </si>
  <si>
    <t>BM-Net analyzed a WSI within 3.5 minutes, showing clinical potential.</t>
  </si>
  <si>
    <t>Luna-Lozoya, R.S.; Ochoa Domínguez, H.; Sossa-Azuela, J.H.; Cruz-Sánchez, V.G.; Vergara Villegas, O.O.</t>
  </si>
  <si>
    <t>The authors mentioned that BM-Net may fail to meet situations
where the WSIs exist with variability and difference during production.</t>
  </si>
  <si>
    <t>A lightweight CNN model was developed by luna et al. \cite{luna2024lightweight} to detect microcalcification clusters (MCCs) in digital mammograms. The proposed architecture features two convolutional layers with 6 and 16 filters, a global pooling layer to avoid flattening, dense layers, and a sigmoid function for binary classification. The model was trained using the public INbreast database and data augmentation techniques was used to enhance the training set. It achieved an accuracy of 99.3% with only 8,301 parameters, significantly fewer than  their previous work with  67,797,505 parameters in MobileNetV2, which has a slightly higher accuracy of 99.8%.</t>
  </si>
  <si>
    <t>downloaded/read</t>
  </si>
  <si>
    <t>The authors replaced the flattening and fully connected layers with a Global Max Pooling Layer (GMPL) and observed that performance remained consistent, while the number of parameters was significantly reduced.</t>
  </si>
  <si>
    <t>https://www.scopus.com/inward/record.uri?eid=2-s2.0-85188740503&amp;doi=10.13053%2FCyS-28-1-4892&amp;partnerID=40&amp;md5=a9a8535e7bfcbd0ca99003d85867d629</t>
  </si>
  <si>
    <t>With the high accuracy achieved on the INbreast database, there is a risk of overfitting. Additional testing on external datasets is necessary to confirm the model's generalizability.</t>
  </si>
  <si>
    <t>Althobaiti M.M.; Ashour A.A.; Alhindi N.A.; Althobaiti A.; Mansour R.F.; Gupta D.; Khanna A.</t>
  </si>
  <si>
    <t>Tasleem et al.\cite{ kausar2023breast}developed a lightweight CNN model for breast cancer diagnosis using invertible residual block modules on wavelet decomposed histopathological images. This method was validated on three benchmark histopathology datasets, achieving accuracy rates of 96.2% for ICIAR 2018, 99.8% for BreakHis, and 72.2% for Bracs. Additionally, it demonstrated efficient test times of 0.67 seconds for ICIAR 2018, 0.21 seconds for BreakHis, and 10.6 seconds for Bracs images</t>
  </si>
  <si>
    <t>Deep Transfer Learning-Based Breast Cancer Detection and Classification Model Using Photoacoustic Multimodal Images</t>
  </si>
  <si>
    <t>The study compares various classifiers, providing insights into their impact on model performance. Moreover, the model’s effectiveness is validated on multiple datasets, ensuring robustness and generalizability.</t>
  </si>
  <si>
    <t>There is tradeoff between the computational cost of the designed model and its accuracy. The model trained on original-sized images demonstrates good accuracy compared to those trained on decomposed images, as some information is lost during the image decomposition step.</t>
  </si>
  <si>
    <t>https://www.scopus.com/inward/record.uri?eid=2-s2.0-85130057030&amp;doi=10.1155%2f2022%2f3714422&amp;partnerID=40&amp;md5=ac86a5d4fc6f0c1adb8bd96b5fc3d7ba</t>
  </si>
  <si>
    <t>In recent years, the incidence of breast cancer has continued to rise. Early screening and precise segmentation of lesion regions are essential for improving diagnostic accuracy and patient prognosis. However, limited data availability and the blurred boundaries of lesions often lead to false detections and missed segmentations in existing models. To address these challenges, this paper proposes a novel model for breast cancer ultrasound image segmentation, named YOLO-MAFS. The model integrates group convolution into the C3k2 module, effectively reducing computational complexity while enhancing segmentation accuracy. Additionally, a lightweight feature fusion module, MAFM, is introduced to handle the diverse appearances of lesion regions. To further address the issue of blurred lesion boundaries, the HAFB module is incorporated between the backbone and the detection head. Moreover, the LASH segmentation head is employed to improve the model’s ability to capture subtle features. Experimental results on the BUS-BRA dataset demonstrate that YOLO-MAFS achieves improvements of 4.2% and 2.5% in mAP@50 and mAP@50–95, respectively, compared to YOLOv11. The model maintains a lightweight architecture while delivering high accuracy, making it well-suited for lesion segmentation in breast cancer ultrasound imaging. © 2025, International Association of Engineers. All rights reserved.</t>
  </si>
  <si>
    <t>Breast cancer; Deep Learning; Segmentation; Ultrasound images; YOLOv11</t>
  </si>
  <si>
    <t xml:space="preserve"> \cite{nneji2023lightweight} propose a lightweight separable convolution network (LWSC) for the automated classification of breast cancer from histopathological images. The LWSC model incorporates separable convolution layers, which are stacked in parallel with multiple filters of varying sizes to capture wider receptive fields. Additionally, the model utilizes factorization and bottleneck convolution layers to reduce dimensionality and computational cost. The proposed architecture is validated on the BreakHis dataset, achieving accuracy (97.23%), sensitivity (97.71%), and specificity (97.93%).</t>
  </si>
  <si>
    <t>Deep learning; Diagnosis; Diseases; Medical imaging; Ultrasonic imaging; Ultrasonics; Breast Cancer; Data availability; Diagnostic accuracy; Limited data; Multi-scales; Patient prognosis; Segmentation; Ultrasound images; YOLOv11; Image segmentation</t>
  </si>
  <si>
    <t>The authors employ contrast enhancement and edge detection techniques to improve the quality of histopathological images before classification</t>
  </si>
  <si>
    <t>Despite being termed as lightweight, the architecture's complexity, including the use of multiple filters and bottleneck layers, might still pose challenges in implementation and require significant expertise.</t>
  </si>
  <si>
    <t>2-s2.0-105022247344</t>
  </si>
  <si>
    <t>Ahmed, S.; Ahmad, W.A.K.; Suneel, S.; Kaur Bhatia, M.; Gopinath, D.; singh, S.</t>
  </si>
  <si>
    <t>Ahmed, Shakeb (59666154200); Ahmad, Waseem Akhtar Khursheed (59221600700); Suneel, Sajja (58853028800); Kaur Bhatia, Manpreet (60195711800); Gopinath, D. (59170066000); singh, Shweta P. (57665491100)</t>
  </si>
  <si>
    <t>59666154200; 59221600700; 58853028800; 60195711800; 59170066000; 57665491100</t>
  </si>
  <si>
    <t>Zero-Knowledge AI Enhancing Data Privacy in Federated Learning Models</t>
  </si>
  <si>
    <t>10.1109/ICIMIA67127.2025.11200577</t>
  </si>
  <si>
    <t>https://www.scopus.com/inward/record.uri?eid=2-s2.0-105021946444&amp;doi=10.1109%2FICIMIA67127.2025.11200577&amp;partnerID=40&amp;md5=a87a108a89689e25b638b8c44e26cb7c</t>
  </si>
  <si>
    <t>\cite{elbashir2019lightweight}  proposes a CNN architecture for classifying breast cancer using RNA-Seq gene expression data.  The authors achieved a lightweight model by using separable convolutions, which decompose standard convolutions into depthwise and pointwise operations to reduce computational complexity. They also employed bottleneck layers to compress feature maps and reduce dimensionality, and transformed the high-dimensional gene expression data into 2D images to efficiently capture spatial patterns. The model accuracy was 98.76%</t>
  </si>
  <si>
    <t>retracted</t>
  </si>
  <si>
    <t>Digital mammogram plays a key role in breast cancer screening, with microcalcifications being an important indicator of an early stage. However, these injuries are difficult to detect. In this paper, we propose a lightweight Convolutional Neural Network (CNN) for detecting microcalcifications clusters in digital mammograms. The architecture comprises two convolutional layers with 6 and 16 filters of 9×9, respectively at a full scale, a global pooling layer that eliminates the flattening and dense layers, and a sigmoid function as the output layer for binary classification. To train the model, we utilize the public INbreast database of digital mammograms with labeled microcalcification clusters. We used data augmentation techniques to artificially increase the training set. Furthermore, we present a case study that encompasses the utilization of a software application. After training, the resulting model yielded an accuracy of 99.3% with only 8,301 parameters. This represents a considerable parameter reduction as compared to the 67,797,505 used in MobileNetV2 with 99.8 % accuracy. © 2024 Instituto Politecnico Nacional. All rights reserved.</t>
  </si>
  <si>
    <t>Ashraf, F.B.; Alam, S.M.M.; Sakib, S.M.</t>
  </si>
  <si>
    <t>Transforming gene expression data into 2D images and applying edge detection techiniques to enhance visual pattern.</t>
  </si>
  <si>
    <t>Enhancing breast cancer classification via histopathological image analysis: Leveraging self-supervised contrastive learning and transfer learning</t>
  </si>
  <si>
    <t>https://www.scopus.com/inward/record.uri?eid=2-s2.0-85138239272&amp;doi=10.1615%2fCritRevBiomedEng.2022043417&amp;partnerID=40&amp;md5=6415332e54bf542140decc0bdbda2d9f</t>
  </si>
  <si>
    <t>While the paper mentions that the proposed method outperforms other methods, it lacks a detailed comparative analysis with other state-of-the-art techniques, making it difficult to assess the relative improvement.</t>
  </si>
  <si>
    <t>https://www.scopus.com/inward/record.uri?eid=2-s2.0-85182354943&amp;doi=10.1016%2Fj.heliyon.2024.e24094&amp;partnerID=40&amp;md5=a21b820f8b6bb3eebcced38b881909e9</t>
  </si>
  <si>
    <t>With the increasing need to train AI models on sensitive healthcare data, Federated Learning (FL) has emerged as a decentralized approach that avoids raw data sharing. However, existing methods such as DP-FL and zkFL still suffer from high privacy leakage, computational overhead, and scalability challenges. To overcome these limitations, this study introduces ZK-FedTransformer++, a novel privacy-preserving FL framework. It integrates lightweight TinyViT transformers, zk-SNARKs for verifiable training, differential privacy for statistical protection, and heuristic client selection for robust participation The approach provides secure model updates via cryptographic proof circuits and noise-perturbed gradients. Experiments based on the RSNA Breast Cancer Detection dataset achieve 91.2% accuracy and 35% less privacy leakage. Tools utilized include PyTorch, zk-SNARK libraries, and privacy accounting protocols. In summary, ZK- FedTransformer++ is an effective privacy enhancement, accuracy improvement, and scalability solution that is a feasible solution for secure, decentralized AI applications in real-world healthcare and IoT settings. © 2025 IEEE.</t>
  </si>
  <si>
    <t>Data Privacy; Federated Learning; Zero Knowledge AI; Zero-Knowledge Proofs</t>
  </si>
  <si>
    <t>Artificial intelligence; Data Sharing; Differential privacy; Electric equipment protection; Health care; Learning systems; Medical computing; Privacy-preserving techniques; Sensitive data; Computational overheads; Computational scalability; Decentralized approach; Learning models; Privacy leakages; Privacy preserving; Zero knowledge; Zero knowledge AI; Zero-knowledge proofs; Scalability</t>
  </si>
  <si>
    <t>2-s2.0-105021946444</t>
  </si>
  <si>
    <t>Baek, J.; Lee, J.H.; Hashemi, H.S.; Natarajan, A.; Tabesh, F.; Paulmurugan, R.; Dahl, J.J.</t>
  </si>
  <si>
    <t>Xuesheng et at. \cite{zhang2020artificial}  developed an enhanced medical ultrasound equipment system embedded with artificial intelligence for the detection of breast lesions. They implemented knowledge distillation techniques, transferring the accuracy of a larger, high-precision model to a smaller network. Additionally, they utilized asynchronous calculation techniques to enable parallel processing and adopted a one-stage neural network architecture for efficient real-time detection of breast lesions. The lightweight network reduces the computational complexity of the larger network by six times and compresses its parameters from 246.4 MB to 578 KB.</t>
  </si>
  <si>
    <t>the specificity of the light weight model outperformed the high precision model by 8%</t>
  </si>
  <si>
    <t>sensitivity is compromised by 9%.</t>
  </si>
  <si>
    <t>Baek, Jihye (57216968983); Lee, Jeonghoon (57281283900); Hashemi, Hoda Sadat (57194556515); Natarajan, Arutselvan (7203044721); Tabesh, Farbod (57339165400); Paulmurugan, Ramasamy R. (6602703569); Dahl, Jeremy J. (7202282276)</t>
  </si>
  <si>
    <t>57216968983; 57281283900; 57194556515; 7203044721; 57339165400; 6602703569; 7202282276</t>
  </si>
  <si>
    <t>MBFormer: A Transformer model for 3D Time-Series Data Processing to Improve Bound Bubble Detection in Nondestructive Ultrasound Molecular Imaging</t>
  </si>
  <si>
    <t>IEEE International Ultrasonics Symposium, IUS</t>
  </si>
  <si>
    <t>10.1109/IUS62464.2025.11201536</t>
  </si>
  <si>
    <t>A lightweight breast histology image classification was developed by Ting et al. \cite{yan2024convolutional}. The authors used a two-stage convolutional neural network incorporating a parallel convolution scale attention module (PCSAM) and a residual convolutional block attention module (ResCBAM). The first-level network, PCSAM-Net, processes image patches, while the second-level network, ResCBAM-Net, integrates these patches to classify the full image. Data augmentation techniques and tiling feature fusion were employed to improve the model's robustness and accuracy​ (97.5%). The model was Evaluated on the ICIAR2018 and BreakHis datasets.</t>
  </si>
  <si>
    <t>The use of tiling feature fusion method to optimize the fusion of patch-level feature maps in the PCSAM-Net</t>
  </si>
  <si>
    <t>https://www.scopus.com/inward/record.uri?eid=2-s2.0-105021804470&amp;doi=10.1109%2FIUS62464.2025.11201536&amp;partnerID=40&amp;md5=0dc4e56789c55a9d7712fcec4c004346</t>
  </si>
  <si>
    <t>While the researchers claim the proposed PCSAM-ResCBAM model is a "lightweight" network, the details of the model architecture and the computational complexity of the model is not discussed, which is an important consideration for real-world deployment, especially on mobile devices.</t>
  </si>
  <si>
    <t>Added to the survey</t>
  </si>
  <si>
    <t>\cite{zahir2021applying} proposed a deep learning model for automated, low-cost, and portable breast cancer detection based on histopathological images using Convolutional Neural Networks (CNNs). The authors used a transfer learning techniques  by combining the convolutional layers of a pre-trained VGG16 model with fine-tuned fully connected layers. The model developed using transfer learning with VGG16 achieved an accuracy of 76%, compared to the model developed without VGG16, which achieved an accuracy of 67.51%.</t>
  </si>
  <si>
    <t xml:space="preserve">Successful deployment of the model on a low-cost Raspberry Pi IoT board </t>
  </si>
  <si>
    <t xml:space="preserve">1.  The details of the model architecture and the number of parameters are not provided.                                                    2. The model performance was not compared with other state-of-arts </t>
  </si>
  <si>
    <t>Breast cancer, a significant threat to women's health, demands early detection. Automating histopathological image analysis offers a promising solution to enhance efficiency and accuracy in diagnosis. This study addresses the challenge of breast cancer histopathological image classification by leveraging the ResNet architecture, known for its depth and skip connections. In this work, two distinct approaches were pursued, each driven by unique motivations. The first approach aimed to improve the learning process through self-supervised contrastive learning. It utilizes a small subset of the training data for initial model training and progressively expands the training set by incorporating confidently labeled data from the unlabeled pool, ultimately achieving a reliable model with limited training data. The second approach focused on optimizing the architecture by combining ResNet50 and Inception module to get a lightweight and efficient classifier. The dataset utilized in this work comprises histopathological images categorized into benign and malignant classes at varying magnification levels (40X, 100X, 200X, 400X), all originating from the same source image. The results demonstrate state-of-the-art performance, achieving 98% accuracy for images magnified at 40X and 200X, and 94% for 100X and 400X. Notably, the proposed architecture boasts a substantially reduced parameter count of approximately 3.6 million, contrasting with existing leading architectures, which possess parameter sizes at least twice as large. © 2024 The Author(s)</t>
  </si>
  <si>
    <t>Yan, T.; Chen, G.; Zhang, H.; Wang, G.; Yan, Z.; Li, Y.; Xu, S.; Zhou, Q.; Shi, R.; Tian, Z.; Wang, B.</t>
  </si>
  <si>
    <t>Researchers in \cite{kalita2024new} developed a lightweight deep learning model with a user interface for breast cancer detection using fine needle aspiration cytology (FNAC) images. The study utilized a deep convolutional neural network (CNN) model, compared against twelve pre-trained models using transfer learning approaches. MobileNet-V2, DenseNet-121, and Inception-V3 emerged as the top performers, which were further evaluated in different transfer learning scenarios. The proposed model was trained and validated using FNAC images, achieving an 85% testing accuracy.</t>
  </si>
  <si>
    <t>Ref:34</t>
  </si>
  <si>
    <t>1.  Evaluating multiple pre-trained models to developing a robust and lightweight CNN model tailored for FNAC image analysis.         2. The integration of the model into a user-friendly Android application significantly enhances its practical utility</t>
  </si>
  <si>
    <t>Accuracy is compromised.</t>
  </si>
  <si>
    <t>https://www.scopus.com/inward/record.uri?eid=2-s2.0-85192759561&amp;doi=10.1016%2Fj.heliyon.2024.e30889&amp;partnerID=40&amp;md5=e088df5571ea4fe1644aa737d77c9a2c</t>
  </si>
  <si>
    <t>Kim S.; Yoon K.</t>
  </si>
  <si>
    <t>Ultrasound molecular imaging (USMI) is an approach that detects targeted microbubbles (MBs) that are bound to specific biomarkers of disease; however, effectively suppressing free-floating MBs remains challenging. In this study, we adopted 3D transformer to analyze time-series ultrasound dataset to achieve enhanced differentiation of bound MBs from free-floating counterparts.We present MBFormer, or microbubble transformer, a nondestructive USMI transformer model that processes time-series 3D spatio-temporal ultrasound videos. The architecture of our model consists of a hierarchical transformer framework that comprises (1) an encoder with the attention mechanism but without positional embeddings, (2) a lightweight decoder featuring multilayer perceptrons (MLPs), and (3) a probability head. The model was validated through an in vivo study employing a transgenic mouse model of spontaneous breast cancer. B-mode and contrast enhanced ultrasound (CEUS) videos were captured utilizing the Vevo2100 system (FUJIFILM Visualsonics, Toronto, Canada). The ground truth data was generated via robust principal component analysis (RPCA)-processed differential targeted enhancement (DTE).We assessed the performance of MBFormer against the baseline models: a CNN-based USMI approach and SegFormer3D, an established 3D transformer model for medical image segmentation. MBFormer demonstrated improved detectability of bound MBs, achieving an area under the curve (AUC) of 0.951, a correlation coefficient (CC) of 0.981, and a continuous dice coefficient (CDC) of 0.748, surpassing the baseline models. These findings suggest that our 3D time-series data processing using the proposed transformer architecture effectively suppresses free-floating MBs while enhancing the detectability of bound MBs. © 2025 IEEE.</t>
  </si>
  <si>
    <t>Breast Cancer Detection; Nondestructive Molecular Imaging; Transformer; Ultrasound; Ultrasound Molecular Imaging</t>
  </si>
  <si>
    <t>https://www.scopus.com/inward/record.uri?eid=2-s2.0-85139222990&amp;doi=10.13052%2fjmm1550-4646.18619&amp;partnerID=40&amp;md5=da05f5794087ee5c0b193374a9f5fe93</t>
  </si>
  <si>
    <t>Correlation detectors; Data handling; Diseases; Image enhancement; Molecular imaging; Nondestructive examination; Principal component analysis; Three dimensional computer graphics; Time series; Ultrasonic applications; Ultrasonics; Breast cancer detection; Microbubbles; Non destructive; Nondestructive molecular imaging; Time-series data; Times series; Transformer; Transformer modeling; Ultrasound molecular imaging; Ultrasound videos; Image segmentation</t>
  </si>
  <si>
    <t>2-s2.0-105021804470</t>
  </si>
  <si>
    <t>Venkata Lakshmi, S.; Mathankumar, M.; Vigenesh, M.; Kayalvizhi, P.</t>
  </si>
  <si>
    <t>Venkata Lakshmi, S. (59951598200); Mathankumar, M. (57809190700); Vigenesh, M. (57194527531); Kayalvizhi, P. (57204220382)</t>
  </si>
  <si>
    <t>59951598200; 57809190700; 57194527531; 57204220382</t>
  </si>
  <si>
    <t>A Novel Multi-Scale Boundary Guide Model for Ultrasound Breast Lesion Segmentation</t>
  </si>
  <si>
    <t>Iranian Journal of Science and Technology - Transactions of Electrical Engineering</t>
  </si>
  <si>
    <t>Gnanaprakash et al. \cite{gnanaprakash2023lightweight} developed a lightweight CNN model for breast cancer detection. The authors designed a simple CNN architecture with input, flatten, output, and dense layers, activated by ReLU and sigmoid functions. They trained and validated the model using the Wisconsin Breast Cancer Dataset (WBCD), employing the Adam optimizer to adjust network parameters and the binary cross-entropy function as the loss function. The performance of the CNN model was evaluated using accuracy, precision, recall, and F1 score, comparing the results with and without a dropout layer.</t>
  </si>
  <si>
    <t>10.1007/s40998-025-00916-0</t>
  </si>
  <si>
    <t>The Adam optimizer was employed in the model, demonstrating superior performance compared to other optimizers such as RMSProp, Adagrad, and Adadelta, particularly in terms of accuracy, recall, precision, and F1 score</t>
  </si>
  <si>
    <t>https://www.scopus.com/inward/record.uri?eid=2-s2.0-105021507239&amp;doi=10.1007%2Fs40998-025-00916-0&amp;partnerID=40&amp;md5=73415bb81fdba9933807077d4b457ba8</t>
  </si>
  <si>
    <t>1. The details of the computational complexity of the model is not discussed, which is an important consideration for real-world deployment, especially on mobile devices. 2. Reliance on a single dataset (WBCD), which may not capture the full diversity of breast cancer cases.</t>
  </si>
  <si>
    <t>A novel model called Mammo-Light for breast cancer prediction was proposed by Mohaimenul et al. \cite{raiaan2024mammo}. The model employs sophisticated preprocessing and photometric data augmentation strategies to enhance image quality and balance the dataset, resulting in high classification accuracy. The total number of trainable parameters is nearly 38 million, and the model was validated on the publicly available CBIS-DDSM and MIAS datasets, achieving testing accuracies of 99.17% and 98.42%, respectively.</t>
  </si>
  <si>
    <t xml:space="preserve">The model achieves excellent classification performance while reducing computational demands compared to other deep learning approaches. </t>
  </si>
  <si>
    <t>In [\cite{patel2023revolutionizing}], a lightweight deep learning and IoT model for histopathological image classification is proposed. The authors designed a micro-bio-thermal sensor array for capturing histopathological images, performing data acquisition, and transmitting data to a microcontroller. They implemented a CNN model for classification, particularly utilizing transfer learning with the pre-trained VGG16 model, achieving an accuracy of 78.07% on the BreakHis database.</t>
  </si>
  <si>
    <t>Deployment on devices like Raspberry Pi</t>
  </si>
  <si>
    <t>The authors mentioned that the performance of the model is heavily dependent on the quality and quantity of training data, which can limit its generalizability.</t>
  </si>
  <si>
    <t>In \cite{nissar2024mob}, a cutting-edge deep learning model was created to predict breast cancer molecular subtypes using mammogram images. The study integrated the MobileNet-V3 architecture with a Convolutional Block Attention Module (CBAM) to enhance feature extraction through dual-channel attention mechanisms and improve classification. The model was tested on the CMMD dataset, demonstrating exceptional performance with 99% accuracy in distinguishing between benign and malignant cases and 98% accuracy in identifying specific subtypes.</t>
  </si>
  <si>
    <t>The integration of attention mechanisms represents a significant advancement in the use of deep learning for medical imaging.</t>
  </si>
  <si>
    <t>Total number of trainable parameters and the complexity is not specifically stated.</t>
  </si>
  <si>
    <t>Breast cancer is the most common cause of female morbidity and death worldwide. Compared with other cancers, early detection of breast cancer is more helpful to improve the prognosis of patients. In order to achieve early diagnosis and treatment, clinical treatment requires rapid and accurate diagnosis. Therefore, the development of an automatic detection system for breast cancer suitable for patient imaging is of great significance for assisting clinical treatment. Accurate classification of pathological images plays a key role in computer-aided medical diagnosis and prognosis. However, in the automatic recognition and classification methods of breast cancer pathological images, the scale information, the loss of image information caused by insufficient feature fusion, and the enormous structure of the model may lead to inaccurate or inefficient classification. To minimize the impact, we proposed a lightweight PCSAM-ResCBAM model based on two-stage convolutional neural network. The model included a Parallel Convolution Scale Attention Module network (PCSAM-Net) and a Residual Convolutional Block Attention Module network (ResCBAM-Net). The first-level convolutional network was built through a 4-layer PCSAM module to achieve prediction and classification of patches extracted from images. To optimize the network's ability to represent global features of images, we proposed a tiled feature fusion method to fuse patch features from the same image, and proposed a residual convolutional attention module. Based on the above, the second-level convolutional network was constructed to achieve predictive classification of images. We evaluated the performance of our proposed model on the ICIAR2018 dataset and the BreakHis dataset, respectively. Furthermore, through model ablation studies, we found that scale attention and dilated convolution play an important role in improving model performance. Our proposed model outperforms the existing state-of-the-art models on 200 × and 400 × magnification datasets with a maximum accuracy of 98.74 %. © 2024</t>
  </si>
  <si>
    <t>Kalita, M.; Mahanta, L.B.; Das, A.K.; Nath, M.</t>
  </si>
  <si>
    <t>Researchers in \cite{abdelmawgood2023modeling} present a novel approach that integrates textile-based antennas with machine learning algorithms for lightweight breast cancer detection. The study employs 2×2 fully textile CPW monopole antennas operating within the 3.5 GHz to 5 GHz range, designed for flexibility and wearability. These antennas collect microwave signals from a simulation of a three-layer breast model comprising fat, glandular, and skin tissues, along with tumors of varying sizes. The collected signals are then analyzed using several machine learning algorithms, including SVM, gradient boosting, and artificial neural networks.</t>
  </si>
  <si>
    <t>A new deep learning model with interface for fine needle aspiration cytology image-based breast cancer detection</t>
  </si>
  <si>
    <t>According to the authors, the use of fully textile CPW monopole antennas makes the hardware component of the model physically lightweight and flexible</t>
  </si>
  <si>
    <t>Breast carcinoma affects over 2.26 million individuals annually, emphasizing the urgent need for early and accurate detection methods to improve clinical outcomes. While ultrasound imaging is widely used for its non-radiative nature, challenges such as poor contrast and complex lesion structures reduce its diagnostic efficacy. This study presents a robust automated system for breast lesion segmentation in ultrasound images using advanced deep learning techniques to enhance detection accuracy and reliability. The proposed framework integrates an encoder-decoder architecture with spatial attention mechanisms and boundary segmentation strategies. A Shearlet-based anisotropic diffusion technique is employed for preprocessing to enhance image quality. For feature extraction, the system utilizes Inception v4 and a residual multi-scale, multilevel spatial attention model. Segmentation is performed using a multi-scale boundary-guided, dual-resolution, lightweight triangulation topology aggregation approach. Additionally, Explainable AI (XAI) techniques such as SHAP and LIME are leveraged to identify genes crucial to various cancer stages. SHAP highlights top-ranking genes across the genomic dataset, while LIME offers instance-level insights. Influential genes such as PLA2G10, MST1R, F13B, and CAMK1, identified by the proposed GeneXAI model, align with biomarkers recognized in cutting-edge biological research. The model also classifies these genes as prognostic or non-prognostic based on clinical significance. The proposed system achieved a Jaccard index of 87.09%, Dice coefficient of 98.63%, precision of 95.51%, and recall of 92.78% across benchmark datasets. These results affirm the model’s potential in supporting early breast cancer detection and aiding clinicians in timely, informed decision-making. © The Author(s), under exclusive licence to Shiraz University 2025.</t>
  </si>
  <si>
    <t>The dataset used for training and testing is relatively small, which may affect the generalizability of the findings.</t>
  </si>
  <si>
    <t>Boundary segmentation; Breast cancer diagnosis; Computer-aided diagnosis; Convolutional neural network; Deep learning; Encoder-decoder; Ultrasound</t>
  </si>
  <si>
    <t>https://www.scopus.com/inward/record.uri?eid=2-s2.0-85190974543&amp;doi=10.11591%2Fijeecs.v34.i3.pp1739-1752&amp;partnerID=40&amp;md5=4dbc46a4e73a37fd3d95e378b2a66dbb</t>
  </si>
  <si>
    <t>2-s2.0-105021507239</t>
  </si>
  <si>
    <t>Authors in \cite{gong2023application} designed a postoperative rehabilitation platform that combines a wearable sensor belt for data collection with a MobileNet-LSTM model for posture recognition. Initially, preoperative data is collected and processed to establish a personalized database for each patient. The model is then trained to accurately recognize body posture. After surgery, the platform continuously gathers patient data in real-time, enabling the analysis of gait changes to detect any posture deviations that might indicate potential spinal deformities. The study validates the platform's feasibility through simulation experiments and emphasizes its advantages over traditional diagnostic methods.</t>
  </si>
  <si>
    <t>Ur Rehman, K.; Tian, Y.; Li, J.; Yasin, A.; Jabbar, A.; Shin, J.; Al-Shamri, M.Y.H.; Ullah, I.</t>
  </si>
  <si>
    <t>The platform's effectiveness across different patient groups and various stages of recovery has not yet been fully assessed, which could limit the generalizability of the findings.</t>
  </si>
  <si>
    <t>Ur Rehman, Khalil (59971468200); Tian, Yibin (58666460800); Li, Jianqiang (56494861500); Yasin, Anaa (57221820084); Jabbar, Ayesha (57679223000); Shin, Jungpil (7402723945); Al-Shamri, Mohammad Yahya H. (23984047300); Ullah, Inam (57213242608)</t>
  </si>
  <si>
    <t>59971468200; 58666460800; 56494861500; 57221820084; 57679223000; 7402723945; 23984047300; 57213242608</t>
  </si>
  <si>
    <t>Radiomic V-Net Deep Learning Architecture for Breast Cancer Prediction Deployed on Medical Consumer Electronics</t>
  </si>
  <si>
    <t>IEEE Transactions on Consumer Electronics</t>
  </si>
  <si>
    <t>10.1109/TCE.2025.3630000</t>
  </si>
  <si>
    <t>https://www.scopus.com/inward/record.uri?eid=2-s2.0-105021269521&amp;doi=10.1109%2FTCE.2025.3630000&amp;partnerID=40&amp;md5=4b94fcfe2989fcf1a8d3c79788190624</t>
  </si>
  <si>
    <t>Ref:41</t>
  </si>
  <si>
    <t>Chavan T.; Prajapati K.; Jv K.R.</t>
  </si>
  <si>
    <t>https://www.scopus.com/inward/record.uri?eid=2-s2.0-85135043192&amp;doi=10.1007%2f978-3-031-09342-5_27&amp;partnerID=40&amp;md5=f90fb385cba01cf5ee0b56f01d38cc97</t>
  </si>
  <si>
    <t>This paper introduces a radiomic-integrated 2D V-Net architecture designed for deployment on medical consumer electronics (MCE) platforms. The system targets real-time detection of architectural distortion in mammograms, a critical indicator for early breast cancer screening. Unlike conventional clinical models, our approach is optimized for consumer-grade edge devices, including Jetson Nano, Raspberry Pi 4, and Snapdragon 865, enabling diagnostic capability in home, rural, and mobile health settings. To achieve this, we employ lightweight design strategies such as top-hat morphological preprocessing, radiomic feature integration, and skip-connected V-Net layers. Deployment efficiency is further enhanced with INT8 quantization, pruning, and operator fusion, reducing model size and latency while preserving accuracy. Experimental evaluation on the CBIS-DDSM and PINUM datasets demonstrates robust performance, with accuracies of 0.98 and 0.97 and specificities of 0.97 and 0.87, respectively. A dedicated visualization interface for smartphones and tablets provides interactive feedback and encrypted report sharing, bridging patients and healthcare providers. By combining radiomic insights, edge AI deployment, and consumer-grade accessibility, this work contributes a scalable, privacy-aware solution for smart healthcare ecosystems and next-generation MCE. © 1975-2011 IEEE.</t>
  </si>
  <si>
    <t>Architectural Distortion; Deep Neural Network; Mammogram; Medical Consumer Electronics; Radiomic</t>
  </si>
  <si>
    <t>Architecture; Computer architecture; Diseases; Mammography; mHealth; X ray screens; Architectural distortions; Breast Cancer; Cancer prediction; Electronic platforms; Learning architectures; Mammogram; NET architecture; Neural-networks; Radiomic; Real-time detection; Deep neural networks</t>
  </si>
  <si>
    <t>2-s2.0-105021269521</t>
  </si>
  <si>
    <t>Raveendra, K.; Muniyandy, E.; Sindhu, V.; Arunachalam, K.P.</t>
  </si>
  <si>
    <t>Raveendra, K. (57204888533); Muniyandy, Elangovan (58932079700); Sindhu, V. (58062804400); Arunachalam, Krishna Prakash (59698472600)</t>
  </si>
  <si>
    <t>57204888533; 58932079700; 58062804400; 59698472600</t>
  </si>
  <si>
    <t>Compact LoRa Patch Antenna Optimization Using Dual Random Starfish Aggregation Coupled Transformer Network for Vital Sign Detection in Breast Cancer WBANs</t>
  </si>
  <si>
    <t>Cytological evaluation through microscopic image analysis of fine needle aspiration cytology (FNAC) is pivotal in the initial screening of breast cancer. The sensitivity of FNAC as a screening tool relies on both image quality and the pathologist’s expertise. To enhance diagnostic accuracy and alleviate the pathologist’s workload, a computer-aided diagnosis (CAD) system was developed. A comparative study was conducted, assessing twelve candidate pre-trained models. Utilizing a locally gathered FNAC image dataset, three superior models-MobileNet-V2, DenseNet-121, and Inception-V3-were selected based on their training, validation, and testing accuracies. Further, these models underwent evaluation in four transfer learning scenarios to enhance testing accuracy. While the outcomes were promising, they left room for improvement, motivating us to create a novel deep convolutional neural network (CNN). The newly proposed model exhibited robust performance with testing accuracy at 85%. Our research concludes that the most lightweight, high-accuracy model is the one we propose. We’ve integrated it into our user-friendly Android App, “Breast Cancer Detection System,” in TensorFlow Lite format, with cloud database support, showcasing its effectiveness. Implementing an artificial intelligent (AI)-based diagnosis system with a user-friendly interface holds the potential to enhance early breast cancer detection using FNAC. © 2024 Institute of Advanced Engineering and Science. All rights reserved.</t>
  </si>
  <si>
    <t>10.1007/s44174-025-00547-3</t>
  </si>
  <si>
    <t>https://www.scopus.com/inward/record.uri?eid=2-s2.0-105019357075&amp;doi=10.1007%2Fs44174-025-00547-3&amp;partnerID=40&amp;md5=9620ba1aba501c20b4139a0b589f314d</t>
  </si>
  <si>
    <t>Modu, F.; Prasad, R.; Aliyu, F.</t>
  </si>
  <si>
    <t>Lightweight CNN for Resource-Constrained BCD System Using Knowledge Distillation</t>
  </si>
  <si>
    <t>https://www.scopus.com/inward/record.uri?eid=2-s2.0-105002579088&amp;doi=10.1109%2FACCESS.2025.3556517&amp;partnerID=40&amp;md5=af2b9a52232016fa55ca4b11e136a7d9</t>
  </si>
  <si>
    <t>Din S.; Mourad O.; Serpedin E.</t>
  </si>
  <si>
    <t>The rapid advancement of Wireless Body Area Networks (WBANs) has created a growing demand for compact, efficient, and reliable antenna systems to support continuous health monitoring, particularly for breast cancer applications. Recent methods, including CPW-fed patch antennas, artificial neural network (ANN)-driven models, and wearable textile antennas, have improved antenna design automation and flexibility. However, challenges such as signal distortion from body proximity, gain reduction under bending, Specific Absorption Rate (SAR) compliance, and lack of adaptive tuning continue to limit practical deployment. To overcome these limitations, this study presents a compact LoRa patch antenna optimized using a novel Dual Random Starfish Aggregation Coupled Transformer Network (Dual-Ran-SACTN) framework. This system combines the Starfish Optimization Algorithm (SFOA), a Random-Coupled Neural Network (RCCN), and a Dual-Aggregation Transformer Network (DuAT) to enhance convergence speed and learning efficiency. The antenna, designed in CST Microwave Studio, measures only 80 × 60 mm2 (0.23 λ₀ × 0.17 λ₀), offering a lightweight and wearable structure for continuous vital sign monitoring. The proposed model exhibits a bidirectional radiation pattern in the E-plane and an omnidirectional pattern in the H-plane, achieving a peak gain of 2.12 dBi and a high radiation efficiency of 99.8% at 868 MHz. Additionally, the design maintains low SAR and stable performance under bending, making it robust for wearable WBAN applications. This work offers a real-time, energy-efficient solution for intelligent breast cancer monitoring through adaptive antenna optimization. This model supports practical applications such as continuous breast cancer monitoring, wearable health diagnostics, and real-time WBAN-based physiological signal tracking. © The Author(s), under exclusive licence to Springer Science+Business Media, LLC, part of Springer Nature 2025.</t>
  </si>
  <si>
    <t>LSCS-Net: A lightweight skin cancer segmentation network with densely connected multi-rate atrous convolution</t>
  </si>
  <si>
    <t>Breast cancer monitoring; Dual random starfish aggregation coupled transformer network (Dual-Ran-SACTN); Dual-aggregation transformer network (DuAT); Long range (LoRa) patch antenna; Random-coupled neural network (RCCN); Wireless body area networks (WBANs)</t>
  </si>
  <si>
    <t>https://www.scopus.com/inward/record.uri?eid=2-s2.0-85189008135&amp;doi=10.1016%2fj.compbiomed.2024.108303&amp;partnerID=40&amp;md5=b8baac5b6a8084a7a3d5290eb027a4dc</t>
  </si>
  <si>
    <t>2-s2.0-105019357075</t>
  </si>
  <si>
    <t>Kubakisa, C.K.; Kambale, W.V.; Kayembe, I.L.; Hamed, M.; Miantezolo, R.; Kyandoghere, K.</t>
  </si>
  <si>
    <t>Kubakisa, Christian Kutabuna (60121573600); Kambale, Witesyavwirwa Vianney (58046524600); Kayembe, Isaac Lukusa (60121556700); Hamed, Mahmoud (59514885100); Miantezolo, Roméo (60121589500); Kyandoghere, Kyamakya (15822176300)</t>
  </si>
  <si>
    <t>60121573600; 58046524600; 60121556700; 59514885100; 60121589500; 15822176300</t>
  </si>
  <si>
    <t>Automated Breast Cancer Classification from Medical Imaging using MobileNet</t>
  </si>
  <si>
    <t>10.1109/ICTAS64866.2025.11155355</t>
  </si>
  <si>
    <t>https://www.scopus.com/inward/record.uri?eid=2-s2.0-105017806547&amp;doi=10.1109%2FICTAS64866.2025.11155355&amp;partnerID=40&amp;md5=0f9797ec4f4c420d4d8fd3ac7f046cd9</t>
  </si>
  <si>
    <t>Breast cancer (BC) remains a leading cause of mortality among women worldwide, with over two million new cases annually. Early detection improves survival rates significantly, yet resource limitations in low- and middle-income countries (LMICs) hinder access to advanced diagnostic tools. While deep learning (DL) models have shown high accuracy in breast cancer detection (BCD), their computational complexity and hardware requirements make them impractical for deployment on low-power devices. To address this, we propose a lightweight convolutional neural network (CNN) for BCD, leveraging knowledge distillation (KD) to transfer knowledge from a complex teacher model (TM) to a smaller student model (SM). Our approach achieves up to 99.3% accuracy, 100% precision, and 99% recall while reducing the number of trainable parameters by 87% compared to conventional deep models. The proposed model successfully runs on a Raspberry Pi 4B with an inference time of 500 ms and memory usage of just 12% (of 8GB RAM), demonstrating its suitability for telemedicine and mobile diagnostics. Additionally, resource utilization experiments confirm that inference remains stable at 10% CPU usage and 40°C when using a heat sink and fan, ensuring sustained deployment. Future work will explore federated learning for decentralized training, integration of multimodal data for enhanced diagnosis, and cloud-based model updates using delay-tolerant networks (DTNs) for remote healthcare applications. © 2013 IEEE.</t>
  </si>
  <si>
    <t>Breast cancer remains one of the leading health threats for women worldwide, where early detection plays a critical role in improving patient prognosis and survival rates. Traditional diagnostic approaches, which are heavily based on the manual interpretation of medical images, often suffer from limitations in precision, efficiency, and scalability. In this study, we propose an automated diagnostic framework that utilizes deep learning techniques to detect and classify breast cancer from medical imaging data. Specifically, we focus on MobileNet, a lightweight convolutional neural network architecture, and evaluate its performance compared to classical CNNs and Vision Transformers (ViT). We showed that MobileNetV3, due to its efficiency and compact architecture, offers a compelling solution for low-resource clinical environments without compromising accuracy. Following rigorous preprocessing and optimized data loading strategies, all models were trained and validated on the MIAS dataset using standard evaluation metrics, including precision, sensitivity, and the F1 score. Our findings demonstrate that MobileNet offers a balanced trade-off between computational efficiency and classification performance, making it a suitable candidate for deployment in real-time clinical settings. The results underscore the potential of integrating deep learning-assisted diagnostic systems to enhance early detection and support clinical decision-making in breast cancer management. © 2025 IEEE.</t>
  </si>
  <si>
    <t>Breast cancer classification; Medical imaging; MobileNet; Vision Transformer</t>
  </si>
  <si>
    <t>https://www.scopus.com/inward/record.uri?eid=2-s2.0-84884785762&amp;partnerID=40&amp;md5=31e4db38afaa379c6aa0f56556b495bd</t>
  </si>
  <si>
    <t>Classification (of information); Computational efficiency; Computer aided diagnosis; Computer vision; Decision making; Deep learning; Diseases; Health risks; Learning systems; Medical image processing; Automated diagnostics; Breast Cancer; Breast cancer classifications; Diagnostic approach; Learning techniques; Mobilenet; Patient prognosis; Patient survivals; Survival rate; Vision transformer; Economic and social effects</t>
  </si>
  <si>
    <t>2-s2.0-105017806547</t>
  </si>
  <si>
    <t>Rohman, M.A.F.; Prasetyo, H.; Akbar, H.M.; Septiano, A.K.; Nadhif, A.D.F.; Prayuda, A.W.H.</t>
  </si>
  <si>
    <t>Rohman, Muhammad Anang Fathur (59563845400); Prasetyo, Heri (55846541300); Akbar, Hafidh Muhammad (59539180900); Septiano, Andika Kavin (59982595900); Nadhif, Abrar Dwi Fairuz (58769094200); Prayuda, Alim Wicaksono Hari (57221167447)</t>
  </si>
  <si>
    <t>59563845400; 55846541300; 59539180900; 59982595900; 58769094200; 57221167447</t>
  </si>
  <si>
    <t>CMRA-Net: An Efficient Architecture for Early Detection of Breast Cancer Through Ultrasound Image Segmentation</t>
  </si>
  <si>
    <t>Proceedings - International Seminar on Intelligent Technology and its Applications, ISITIA</t>
  </si>
  <si>
    <t>10.1109/ISITIA66279.2025.11137567</t>
  </si>
  <si>
    <t>https://www.scopus.com/inward/record.uri?eid=2-s2.0-105016905581&amp;doi=10.1109%2FISITIA66279.2025.11137567&amp;partnerID=40&amp;md5=59fbbeb6d47e12f750d8d28710d6e111</t>
  </si>
  <si>
    <t>unread</t>
  </si>
  <si>
    <t>Ahmad B.; Jun S.; Li J.; Lidan B.</t>
  </si>
  <si>
    <t>https://www.scopus.com/inward/record.uri?eid=2-s2.0-85125349633&amp;doi=10.1109%2fICCIS54243.2021.9676187&amp;partnerID=40&amp;md5=699778717e6dc46ebf62a97a3ed55f5c</t>
  </si>
  <si>
    <t>Breast cancer is a leading global cancer where early detection is critical for patient survival. While Automated Breast Ultrasound (ABUS) improves imaging over conventional methods, the manual analysis of its large 3D volumes is a timeconsuming process that delays diagnosis. Deep learning can automate this segmentation task; however, existing architectures often achieve high accuracy at the expense of efficiency, resulting in large models with high parameter counts. This research addresses the dual challenge of accuracy and efficiency by proposing a novel, lightweight architecture: the ConvMixer Multi-scale Residual Attention Half U-Net (CMRANet). Our model enhances the efficient Half-UNet framework by integrating Ghost Module V2, ConvMixer, and Multi-scale Residual Attention (MRA) modules to enrich feature representation while minimizing computational cost. The proposed CMRA-Net was trained and evaluated on the public Breast Ultrasound Image (BUSI) dataset. It achieved a high F1- Score of 85.10% and an Intersection-over-Union (IoU) of 76.10%. Critically, it accomplished this with a highly efficient parameter count of only 0.21 million. These results demonstrate that CMRA-Net surpasses eight previous state-of-the-art methods, including U-Net, U-Net++, and Half-UNet, in both segmentation accuracy and memory efficiency. This work presents a significant step toward developing practical and effective automated tools for early breast cancer diagnosis. © 2025 IEEE.</t>
  </si>
  <si>
    <t>Breast Cancer; CMRA-Net; Deep Learning; Memory Efficiency; Segmentation</t>
  </si>
  <si>
    <t>Architecture; Automation; Computational efficiency; Deep learning; Diagnosis; Diseases; Medical imaging; Memory architecture; Ultrasonic applications; Breast Cancer; CMRA-net; Early detection of breast cancer; Efficient architecture; Memory efficiency; Multi-scales; Patient survivals; Segmentation; Ultrasound image segmentation; Image segmentation</t>
  </si>
  <si>
    <t>2-s2.0-105016905581</t>
  </si>
  <si>
    <t>Al Abboodi, H.M.; Alhuseen, Z.A.A.; Abedi, W.M.</t>
  </si>
  <si>
    <t>Al Abboodi, Hanaa M. (57244894500); Alhuseen, Zainab Ali Abd (59409303200); Abedi, Wafaa M.Salih (57431118900)</t>
  </si>
  <si>
    <t>57244894500; 59409303200; 57431118900</t>
  </si>
  <si>
    <t>Detection of Breast Cancer Using a Dual-Stream Network of DenseNet121 and UNet Guided ViT Fusion Transformer</t>
  </si>
  <si>
    <t>10.22266/ijies2025.0831.33</t>
  </si>
  <si>
    <t>https://www.scopus.com/inward/record.uri?eid=2-s2.0-105014021476&amp;doi=10.22266%2Fijies2025.0831.33&amp;partnerID=40&amp;md5=15717287e09ebc4cf88d0aeaaaa38b29</t>
  </si>
  <si>
    <t>The proceedings contain 251 papers. The special focus in this conference is on Materials Engineering and Technology, Mechanical Engineering, Design Technology and Engineering, Applied Thermodynamics, Mechatronics and Robotics, Modern Control, Automation and Reverse Engineering, Civil Engineering, Manufacturing and Industrial Engineering and Data Mining, Information Technologies and Networks. The topics include: Flexural strength of PLA/kenaf green composite; aging behavior of the polyether polyurethane films irradiated by UV; synthesis of Fe-Al&lt;inf&gt;2&lt;/inf&gt;O&lt;inf&gt;3&lt;/inf&gt; composite by high-frequency induction-heated combustion; self-propagating high-temperature synthesis of Fe-W(B, C) based composite; electrochromic performance of NiO films in alkaline medium; oxidation of oxide dispersion strengthened steels; optimization of parameters in fiber reinforced polyurethane composited reaction injection molding; study on the foaming behavior of PS-CO2 by using water or ethanol as Co-blowing agent; the metastable phase responsible for hardenig in an Al-Mg alloy aged at 473K; investigations of nanostructure and photoluminescence properties of nanoporous silicon; characterization of high density solid waste biopolymer foam; effect of applied current density on the electrodeposition of Ni on Ti substrate; morphology and mechanical properties of HDPE/bio-polymer as compounding materials; mechanical properties of UV irradiated bio polymer thin films doped with titanium dioxide; adhesive bonding strength and adhesive penetration of two malaysian medium hardwoods; research development of the laser surface modification to improve the corrosion-resistance of titanium and titanium alloys; research progress of the surface oxidation of titanium and its alloys; development status of laser clad cobalt-based alloy coatings; application of the high strength steel in the automobile; effect of crack length on mixed-mode cohesive fracture of the adhesively bonded joints; a case study on effect of feed rate on machinability of austempered ductile iron; grinding force research on nanostructured ceramic coatings; research on nano-ceramic coatings precision grinding; CO&lt;inf&gt;2&lt;/inf&gt; laser cladding of mild steel using iron based powder and silicon carbide particles; acoustic study based on sustainable green polymer treated with H2O; dynamic response of FDM made ABS parts in different part orientations; scaling up process output of monomer reactor; characterization of rice straw ash and utilization in glass production; investigation on carbon fiber composites as architectural EMI shielding material; durability of traffic signs and retroreflective materials; performance study on scale inhibition of biodegradable water treatment agent; simulation of laser-induced thermoelastic behavior in metal plates; stress analysis and fatigue life estimation of bridge rubber bearing; optimization design of a framework for an infrared seeker; the higher order crack-tip field for reissners power FGMs spherical shell; A Z-map based approach for extracting the groove shape of impeller; an efficient diffusion model for a real-time gas diffusion simulation system; design and simulation on righting manipulator of the remote control in workover operations; lightweight design optimization of large-tonnage hydraulic press body structure; prediction of long-term properties of fiberglass pipe based on the shift factors method; nonlinear aerodynamics reduced-order model based on multi-input volterra series; positive solutions of a strongly coupled prey-predator system; algorithm and realization of wind power prediction system; an improved islanding detection method for photovoltaic grid-connected system; switch technology in intelligent substation; study on energy optimization of clutch based on energy design factor; a combination method for mid-long term power load simulation and prediction; study of dual-active series resonant DC-DC converter for high power applications; capacitor group zero-crossing switching control system design; research and design of air conditioning air flow test bench; mono pulse confocal microwave imaging in breast cancer detection; two-dimensional laser detection front end circuit and algorithm; detection of pilot-induced oscillation (PIO); real time web based monitoring and calibration system for diesel engine; a safety monitoring device for firefighters based on wireless localization algorithm; garlic cutting umbilical based on image processing and GUI; clustering based on a novel density estimation method; analysis based on the remote sensing image of harbin urban heat island effect; the research on multiscale image fusion based on the dualtree complex wavelet; gesture recognition for briefing application; method on 3D dense point cloud recovery of geographical scene; implementation of unitary music algorithm using Xilinx system generator; sound source localization based on microphone uniform linear array; method of harmonic detection based on the wavelet transform; research and simulation of image histogram matching; based on HMM intonation prosody prediction of Tibetan TTS; the application of CRI method in fuzzy reasoning; fuzzy recognition intelligent system based on cash character; the perception system of external world for robot; a robot simulation system for self-location by using field visual information; sound analysis and synthesis for audio simulation system of flight simulator; research on the vision processing of space robot's tracking camera; the design of servo system for azimuth of directional antenna based on PMSM; application of sliding mode cascade controller in AC servo system; research on the detection unit and control system of CNC cool frame bender; semistability of nonlinear control systems; the study of DC motor position controller parameter setting and simulation; with DGPS-RTK terminal yard cranes real-time operating system; temperature controller of heating furnace based on fuzzy neural network technology; design of direct digital synthesizer based on FPGA; a study for embedded software double-fault testability; design of the high-speed high-resolution latched comparator; design of a novel excitation circuit for low perming error fluxgate; design of SDH positive/zero/negative justification circuits based on FPGA; distribution network and multiple power bi-level programming; important position of information science in studying complex system; security research and measures for the internet of things; critical evaluation on steganography metrics; efficient scratchpad memory management for mobile multimedia application; modeling and simulation of FC-AE-ASM network; implementation of vehicle control system based on IPV6-CAN gateway; a provably secure e-cash scheme with loss-tracing; a note on optimal function for similarity measure in ontology application; a simple multi-models rendering framework - PM-OCMMRF; system design considerations for satellite communications on the move; an identity on resistance distances; simulation for view selection in data warehouse; internal cloud storage architecture implemented in crop germplasm resources data; analysis of precast piles for piling process; preparation and verification of a limit protective isolation structural analysis programs; research of cascade reservoirs flood limit level dynamic control based on game theory; hydrologic and hydraulic analysis of city flood control; the property of hierarchical structure in manufacturing; tools management solution for small enterprises; PLC-based laboratory intelligent management system; investigation on safety condition of cell phone charging; analyzing crash frequency by collision type at freeway diverge areas and study of logistics warehouse management system based on RFID.</t>
  </si>
  <si>
    <t>The development of effective breast cancer detection methods becomes essential because breast cancer continues to be the main reason for illness and mortality among female patients worldwide. This research adopts a dual-stream detection system that merges DenseNet121 features with ViT-Lite CNN segments that undergo late fusion integration. A pre-trained DenseNet121 extracts complex image features from breast ultrasound data as the first stream. In contrast, the second stream combines U-Net segmentation with ViT-Lite CNN to analyze tumor regions exclusively. The combined output from both streams enables the method to accurately classify benign, malignant, and normal cases. The proposed approach delivered 99,99% classification accuracy during evaluations using the Breast Ultrasound Images Dataset (BUSI), which reflects its strong effectiveness as a detection solution. The system design exhibits lightweight features with ease of scalability that match the requirements of resource-limited healthcare environments and telemedicine infrastructure. Data detection assessments indicate that combining convolutional neural networks and transformer modules offers improved potential for breast cancer diagnosis at an early stage, which benefits patient health outcomes. © This article is licensed under a Creative Commons Attribution-ShareAlike 4.0 International License. License details: https://creativecommons.org/licenses/by-sa/4.0/</t>
  </si>
  <si>
    <t>Deep feature extraction; DenseNet121; Dual stream network; Late fusion; U-Net segmentation; ViT-Lite CNN</t>
  </si>
  <si>
    <t>Oliveira H.S.; Teixeira J.F.; Oliveira H.P.</t>
  </si>
  <si>
    <t>2-s2.0-105014021476</t>
  </si>
  <si>
    <t>Damodharan, D.; Jain, R.; Premavathi, T.; Parmar, K.; Ghribi, W.; Ahmed, A.M.; Ahmad, N.</t>
  </si>
  <si>
    <t>Damodharan, P. (56084684000); Jain, Rituraj (55449858600); Premavathi, T. (58521826600); Parmar, Kumar J. (58879421900); Ghribi, Wade (24474785600); Ahmed, Abdelmoty M. (57202438644); Ahmad, Naim (56589432600)</t>
  </si>
  <si>
    <t>https://www.scopus.com/inward/record.uri?eid=2-s2.0-85072901730&amp;doi=10.1007%2f978-3-030-30645-8_64&amp;partnerID=40&amp;md5=1104b2068bf9fcf82ae03b9a19c3a518</t>
  </si>
  <si>
    <t>56084684000; 55449858600; 58521826600; 58879421900; 24474785600; 57202438644; 56589432600</t>
  </si>
  <si>
    <t>YOLO in Healthcare: A Comprehensive Review of Detection Architectures, Domain Applications, and Future Innovations</t>
  </si>
  <si>
    <t>10.1109/ACCESS.2025.3599358</t>
  </si>
  <si>
    <t>https://www.scopus.com/inward/record.uri?eid=2-s2.0-105013755493&amp;doi=10.1109%2FACCESS.2025.3599358&amp;partnerID=40&amp;md5=13d30e58f1d3749764d115e9db52da43</t>
  </si>
  <si>
    <t>The proceedings contain 58 papers. The topics discussed include: optimization of budgeting type 2 diabetes through modeling disease burden; WS-TWSVM: weighted structural twin support vector machine by local and global information; necessity of laboratory blood tests in intensive care unit using data mining; diagnosis of type 2 diabetes using cost-sensitive learning; BetaProbe: a probability based method for predicting beta sheet topology using integer programming; design of an automated system for detection and classification of power quality disturbances; applying grey wolf optimizer-based decision tree c1assifer for cancer classification on gene expression data; designing a pervasive eye movement-based system for ALS and paralyzed patients; spectral clustering-based classification; a high-speed FPGA implementation of a bit-slice ultra-lightweight block cipher, RECTANGLE; and identification of gene signatures for classifying of breast cancer subtypes using protein interaction database and support vector machines.</t>
  </si>
  <si>
    <t>Li, J.; Liu, H.; Brown, M.; Kumar, P.; Challacombe, B.J.; Chandra, A.; Rottenberg, G.; Seneviratne, L.D.; Althoefer, K.; Dasgupta, P.</t>
  </si>
  <si>
    <t>https://www.scopus.com/inward/record.uri?eid=2-s2.0-85013215035&amp;doi=10.1016%2Fj.medengphy.2017.01.021&amp;partnerID=40&amp;md5=4c642cbfe3caf47a0794a3ac8dd7bc70</t>
  </si>
  <si>
    <t>The growing adoption of deep learning in medical imaging has propelled object detection frameworks into clinical relevance, with YOLO (You Only Look Once) standing out for its real-time inference and high accuracy. This survey offers a comprehensive review of YOLO-based medical object detection, synthesizing findings from 123 peer-reviewed papers published between 2018 and 2024. Across oncology, radiology, pathology, surgery, and PPE detection, YOLO models have demonstrated strong performance in tumor localization, lesion segmentation, tool tracking, and anomaly detection. YOLOv3 and YOLOv5 remain the most frequently deployed variants, while YOLOv8 and YOLO-NAS are emerging in recent studies with improved mAP and lower latency. Findings reveal that mAP scores exceeding 85% were commonly achieved in breast cancer and pulmonary nodule detection tasks, while lightweight versions such as YOLOv5s maintained detection speed above 50 FPS in surgical environments. Despite its clinical promise, persistent challenges include poor sensitivity to small or rare lesions, absence of benchmark datasets across modalities, and variability in annotation practices. This survey introduces a structured taxonomy of YOLO architectures, benchmarks their comparative performance, highlights key limitations, and proposes forward-looking trends involving multimodal fusion, transformer-enhanced backbones, and privacy-preserving learning. The work consolidates YOLO’s growing role in healthcare AI and serves as a foundational reference for researchers and practitioners alike. © 2013 IEEE.</t>
  </si>
  <si>
    <t>computer vision; deep learning; healthcare AI; medical diagnostic imaging; medical imaging; object detection; real-time inference; You Only Look Once (YOLO)</t>
  </si>
  <si>
    <t>Anomaly detection; Benchmarking; Computer vision; Deep learning; Diagnosis; Medical computing; Medical imaging; Object recognition; Object tracking; Surgery; Detection framework; Future innovations; Healthcare AI; High-accuracy; Medical diagnostic imaging; Objects detection; Performance; Real-time inference; You only look once; Object detection</t>
  </si>
  <si>
    <t>Review</t>
  </si>
  <si>
    <t>2-s2.0-105013755493</t>
  </si>
  <si>
    <t>Taifi, K.; Sabbar, Y.; Ardah, H.; Abdel-Aty, A.-H.</t>
  </si>
  <si>
    <t>Taifi, Khaddouj (56733064500); Sabbar, Yassine (57202253327); Ardah, Hanin (59549571400); Abdel-Aty, Abdel Haleem (56962788300)</t>
  </si>
  <si>
    <t>56733064500; 57202253327; 59549571400; 56962788300</t>
  </si>
  <si>
    <t>Enhanced DL-Based Breast Cancer Diagnosis and Classification Using Modified DenseNet-121, DenseNet-201, and MobileNetV2: Optimized Architectures and Refined Activation Functions</t>
  </si>
  <si>
    <t>10.1109/ACCESS.2025.3594827</t>
  </si>
  <si>
    <t>https://www.scopus.com/inward/record.uri?eid=2-s2.0-105012438783&amp;doi=10.1109%2FACCESS.2025.3594827&amp;partnerID=40&amp;md5=3509bc47ddf96ea815bb6c1bc73668b4</t>
  </si>
  <si>
    <t>Ref:46</t>
  </si>
  <si>
    <t>https://www.scopus.com/inward/record.uri?eid=2-s2.0-85097683791&amp;partnerID=40&amp;md5=343726d9201692790d3e0204dad8e140</t>
  </si>
  <si>
    <t>Deep learning has revolutionized medical image analysis, particularly in the domain of breast cancer detection. Despite notable progress, further optimization of neural network architectures and activation functions remains critical for enhancing classification accuracy and model generalization. This study explores the effect of architectural refinements and activation function choices on the performance of three widely adopted convolutional neural networks: DenseNet-121, DenseNet-201, and MobileNetV2. Specifically, we introduce a modified framework that incorporates selective freezing of early convolutional layers and replaces the conventional ReLU activation function with the smoother GELU activation in the fully connected layers, aiming to improve feature representation and classification robustness. The proposed enhancements are rigorously evaluated across three balanced and widely used benchmark mammography datasets: MIAS, INbreast, and DDSM, using standard performance metrics including Precision, Recall, F1-score, and Accuracy. Experimental findings show that the modified models consistently surpass their original counterparts. Notably, the enhanced DenseNet-201 achieves the highest accuracy of 99.6% on the DDSM dataset. Similarly, the modified DenseNet-121 attains 97% accuracy on MIAS and 98% on INbreast, while the improved DenseNet-201 reaches 98% on both MIAS and INbreast. Furthermore, the lightweight yet optimized MobileNetV2 achieves impressive results, with 99.4% accuracy on DDSM and 99% on INbreast. To validate the statistical significance of these performance gains, paired t-tests were conducted, confirming that the improvements are not only consistent but also statistically meaningful. Our results emphasize the effectiveness of architectural tuning and activation function refinement in advancing deep learning-based breast cancer classification. © 2013 IEEE.</t>
  </si>
  <si>
    <t>breast cancer detection; Deep learning; DenseNet-121; DenseNet-201; GELU; mammography; medical image analysis; MobileNetV2</t>
  </si>
  <si>
    <t>Activation analysis; Architecture; Benchmarking; Chemical activation; Classification (of information); Computer aided diagnosis; Convolution; Convolutional neural networks; Deep learning; Diseases; Image analysis; Medical image processing; Network architecture; Activation functions; Breast cancer classifications; Breast cancer detection; Breast cancer diagnosis; Densenet-121; Densenet-201; GELU; Medical image analysis; Mobilenetv2; Mammography</t>
  </si>
  <si>
    <t>2-s2.0-105012438783</t>
  </si>
  <si>
    <t>Sarang, R.; Patidar, M.; Shah, A.</t>
  </si>
  <si>
    <t>Sarang, Ruvanshi (59550252600); Patidar, Mukesh (55516174400); Shah, Arpit (58905914300)</t>
  </si>
  <si>
    <t>59550252600; 55516174400; 58905914300</t>
  </si>
  <si>
    <t>Detects Effective Deep Learning Based Breast Cancer Using Lite Fine-Tune Convolution Neural Network</t>
  </si>
  <si>
    <t>IET Conference Proceedings</t>
  </si>
  <si>
    <t>Rolling mechanical imaging (RMI) is a novel technique towards the detection and quantification of malignant tissue in locations that are inaccessible to palpation during robotic minimally invasive surgery (MIS); the approach is shown to achieve results of higher precision than is possible using the human hand. Using a passive robotic manipulator, a lightweight and force sensitive wheeled probe is driven across the surface of tissue samples to collect continuous measurements of wheel-tissue dynamics. A color-coded map is then generated to visualize the stiffness distribution within the internal tissue structure. Having developed the RMI device in-house, we aim to compare the accuracy of this technique to commonly used methods of localizing prostate cancer in current practice: digital rectal exam (DRE), magnetic resonance imaging (MRI) and transrectal ultrasound (TRUS) biopsy. Final histology is the gold standard used for comparison. A total of 126 sites from 21 robotic-assisted radical prostatectomy specimens were examined. Analysis was performed for sensitivity, specificity, accuracy, and predictive value across all patient risk profiles (defined by PSA, Gleason score and pathological score). Of all techniques, pre-operative biopsy had the highest sensitivity (76.2%) and accuracy (64.3%) in the localization of tumor in the final specimen. However, RMI had a higher sensitivity (44.4%) and accuracy (57.9%) than both DRE (38.1% and 52.4%, respectively) and MRI (33.3% and 57.9%, respectively). These findings suggest a role for RMI towards MIS, where haptic feedback is lacking. While our approach has focused on urological tumors, RMI has potential applicability to other extirpative oncological procedures and to diagnostics (e.g., breast cancer screening). © 2017</t>
  </si>
  <si>
    <t>10.1049/icp.2025.1298</t>
  </si>
  <si>
    <t>Taruno, K.; Kurita, T.; Kuwahata, A.; Yanagihara, K.; Enokido, K.; Katayose, Y.; Nakamura, S.; Takei, H.; Sekino, M.; Kusakabe, M.</t>
  </si>
  <si>
    <t>https://www.scopus.com/inward/record.uri?eid=2-s2.0-105012020242&amp;doi=10.1049%2Ficp.2025.1298&amp;partnerID=40&amp;md5=87fd63f5b6c90916fdf1a738380c3b06</t>
  </si>
  <si>
    <t>Multicenter clinical trial on sentinel lymph node biopsy using superparamagnetic iron oxide nanoparticles and a novel handheld magnetic probe</t>
  </si>
  <si>
    <t>https://www.scopus.com/inward/record.uri?eid=2-s2.0-85074788048&amp;doi=10.1002%2Fjso.25747&amp;partnerID=40&amp;md5=70f25536527d62085c4b183b2e096bd8</t>
  </si>
  <si>
    <t>Breast cancer maintains its position as a major worldwide health issue because we need enhanced diagnostic procedures which detect breast cancer early while optimizing treatment results. This paper introduces the Lite Fine-Tune Convolutional Neural Network (LFT-CNN) for breast cancer recognition which establishes a trading zone between classification precision and computational performance. Deep learning models normally need substantial training and processing power, but LFT-CNN applies transfer learning with minimum parameter adjustments to optimize convolutional layers in pre-trained networks while focusing refinement on high-level feature elements. The training process becomes faster through this system yet delivers comparable performance results. The model showed exceptional capability in identifying mammography cases by reaching 97% classification accuracy during publicly accessible dataset testing beyond typical CNN architecture levels. The approach successfully detects malignant from benign tumors, so it strengthens diagnostic dependability which helps radiologists make clinical choices. The narrow and streamlined structure of LFT-CNN makes it possible to run this automated breast cancer screening system on limited resource platforms like edge devices and mobile health applications. LFT-CNN demonstrates practical and scalable potential for real-world applications because it achieves high accuracy together with light computing demands. These research outcomes demonstrate how well-designed lightweight deep learning models benefit medical imaging because they enhance early detection methods and improve patient outcomes during breast cancer diagnosis. © The Institution of Engineering &amp; Technology 2025.</t>
  </si>
  <si>
    <t>Breast Cancer Recognition; Convolutional Neural Network; Early Detection; Medical Imaging; Transfer Learning</t>
  </si>
  <si>
    <t>Classification (of information); Computer aided diagnosis; Convolutional neural networks; Deep neural networks; Diseases; Learning algorithms; Learning systems; Mammography; mHealth; Statistical tests; Transfer learning; Breast Cancer; Breast cancer recognition; Classification precision; Convolution neural network; Convolutional neural network; Diagnostic procedure; Early detection; Health issues; Learning models; Convolution</t>
  </si>
  <si>
    <t>2-s2.0-105012020242</t>
  </si>
  <si>
    <t>Gupta, D.</t>
  </si>
  <si>
    <t>Gupta, Disha (60007774600)</t>
  </si>
  <si>
    <t>Background: Sentinel lymph node biopsy is a standard staging procedure for early axillary lymph node-negative breast cancer. As an alternative to the currently used radioactive tracers for sentinel lymph node (SLN) detection during the surgical procedure, a number of studies have shown promising results using superparamagnetic iron oxide (SPIO) nanoparticles. Here, we developed a new handheld, cordless, and lightweight magnetic probe for SPIO detection. Methods: Resovist (SPIO nanoparticles) were detected by the newly developed handheld probe, and the SLN detection rate was compared to that of the standard radioisotope (RI) method using radioactive colloids (99mTc) and a blue dye (indigo carmine). This was a multicenter prospective clinical trial that included 220 patients with breast cancer scheduled for sentinel node biopsy after a clinical diagnosis of negative axillary lymph node from three facilities in Japan. Results: Of the 210 patients analyzed, SLN was detected in 94.8% (199/210 cases, 90% confidence interval [CI]) with our magnetic method and in 98.1% (206/210 cases, 90% CI) with the RI method. The magnetic method exceeded the threshold identification rate of 90%. Conclusion: This was the first clinical study to use a novel handheld magnetometer to detect SLN, which we demonstrate to be not inferior to the RI method. © 2019 Wiley Periodicals, Inc.</t>
  </si>
  <si>
    <t>Reducing Global Breast Cancer Mortality with Early, Low-Cost Diagnosis Using Generative AI and Hybrid DL Architecture</t>
  </si>
  <si>
    <t>https://www.scopus.com/inward/record.uri?eid=2-s2.0-85096498383&amp;partnerID=40&amp;md5=96864cec68a1d7daf114c68cb5099620</t>
  </si>
  <si>
    <t>Alam, M.W.; Wahid, K.A.; Goel, R.K.; Lukong, K.E.</t>
  </si>
  <si>
    <t>Development of a low-cost and portable smart fluorometer for detecting breast cancer cells</t>
  </si>
  <si>
    <t>10.1109/CAI64502.2025.00089</t>
  </si>
  <si>
    <t>https://www.scopus.com/inward/record.uri?eid=2-s2.0-85061546246&amp;doi=10.1364%2FBOE.10.000399&amp;partnerID=40&amp;md5=96f5a52dac94266494bd0706762bb7a5</t>
  </si>
  <si>
    <t>https://www.scopus.com/inward/record.uri?eid=2-s2.0-105011275624&amp;doi=10.1109%2FCAI64502.2025.00089&amp;partnerID=40&amp;md5=6a408a12e8ceaec0d3099306e4c7680e</t>
  </si>
  <si>
    <t>Breast cancer is the most common cancer in the world [1]. Mortality rates stand at 27 percent in India and 60 in Africa, compared to 7 in the US [2]. This disconnect boils down to the time of diagnosis. According to the CDC late-stage diagnosis has a five-year mortality rate of 69 percent, compared to 2 percent for early diagnosis [3]. Underserved communities lack access to high-cost, advanced diagnostic tech-nologies (MRIs/Mammograms) and cancer specialists (Oncolo-gists/Radiologists) [4]. Patients must depend on low-cost, low-resolution modalities (Ultrasounds) and the limited breast cancer expertise of general physicians (and gynecologists in developing countries), significantly delaying diagnosis and subsequent in-tervention [5]. This study aims to reduce global breast cancer mortality and healthcare costs by enabling accurate, early, and low-cost diagnosis using the existing ultrasound infrastructure in developing countries and underserved communities. To address data scarcity and skew, advanced image augmentation techniques such as deep convolutional GANs and stable diffusion models were evaluated. In each case of data augmentation, two classification approaches were compared: a lightweight MobileNetV2 convolutional neural network and a hybrid model combining ResNet50 for feature extraction with statistical machine learning models. The highest detection accuracy (95 percent) was achieved using the hybrid model with ResNet50 and XGBoost, paired with Stable Diffusion augmentation. An iOS app was implemented to demonstrate the feasibility of this approach in resource-constrained settings, showcasing its potential for scalable, efficient diagnostic solutions. © 2025 IEEE.</t>
  </si>
  <si>
    <t>artificial intelligence; breast cancer diagnosis; breast cancer screening; breast ultrasound; deep learning models; diffusion image augmentation; early cancer diagnosis; early diagnosis; gan; generative adversarial network; hybrid architecture; image augmentation; low-cost diagnosis; mobilenetv2; reducing mortality; resnet50; stable diffusion; traditional image augmentation; ultrasound images; underserved communities</t>
  </si>
  <si>
    <t>Architecture; Computer aided diagnosis; Cost estimating; Cost reduction; Data mining; Deep learning; Developing countries; Diseases; Learning systems; Medical imaging; Medical informatics; Screening; Adversarial networks; Breast cancer diagnosis; Breast cancer screening; Breast ultrasound; Cancer diagnosis; Deep learning model; Diffusion image augmentation; Early cancer; Early cancer diagnose; Early diagnosis; Gan; Hybrid architectures; Image augmentation; Learning models; Low-cost diagnose; Low-costs; Mobilenetv2; Reducing mortality; Resnet50; Stable diffusion; Traditional image augmentation; Ultrasound images; Underserved community; Convolution; Diffusion</t>
  </si>
  <si>
    <t>2-s2.0-105011275624</t>
  </si>
  <si>
    <t>Abdelmawgood Z.; Abdalawy S.; Mohamed H.; Eldamak A.; Fahmy O.; Elsheakh D.</t>
  </si>
  <si>
    <t>Chen, Z.; Zeng, X.; Cheng, K.; Hong, Y.; Liu, Y.; Fang, R.; Liao, C.; Plain, J.</t>
  </si>
  <si>
    <t>Modeling of Textile Antenna Sensors for Breast Cancer Detection Using Artificial Intelligence Techniques</t>
  </si>
  <si>
    <t>Chen, Zhiyu (59774271400); Zeng, Xinhua (57656450200); Cheng, Kai (58169693000); Hong, Yu (59931872200); Liu, Ying (57476857800); Fang, Run (59774035800); Liao, Chengsheng (59932325000); Plain, Jérôme (6603630388)</t>
  </si>
  <si>
    <t>59774271400; 57656450200; 58169693000; 59931872200; 57476857800; 59774035800; 59932325000; 6603630388</t>
  </si>
  <si>
    <t>A Lightweight Multi-Scale Efficient Model for Breast Cancer Detection and Classification in Mammograms</t>
  </si>
  <si>
    <t>https://www.scopus.com/inward/record.uri?eid=2-s2.0-85189925974&amp;doi=10.1109%2fMoSICom59118.2023.10458762&amp;partnerID=40&amp;md5=979ffe8fc4433c67cddbf6251401f721</t>
  </si>
  <si>
    <t>15289 LNCS</t>
  </si>
  <si>
    <t>10.1007/978-981-96-6585-3_23</t>
  </si>
  <si>
    <t>https://www.scopus.com/inward/record.uri?eid=2-s2.0-105010211419&amp;doi=10.1007%2F978-981-96-6585-3_23&amp;partnerID=40&amp;md5=558a50aa1e9a92bc0a6afdf4fe115545</t>
  </si>
  <si>
    <t>Instruments that allow the detection of fluorescence signal are invaluable tools for biomedical and clinical researchers. The technique is widely used in cell biology to microscopically detect target proteins of interest in mammalian cells. Importantly, fluorescence microscopy finds major applications in cancer biology where cancer cells are chemically labelled for detection. However, conventional fluorescence detection instruments such as fluorescence imaging microscopes are expensive, not portable and entail potentially high maintenance costs. Here we describe the design, development and applicability of a low-cost and portable fluorometer for the detection of fluorescence signal emitted from a model breast cancer cell line, engineered to stably express the green fluorescent protein (GFP). This device utilizes a flashlight which works in the visible range as an excitation source and a photodiode as the detector. It also utilizes an emission filter to mainly allow the fluorescence signal to reach the detector while eliminating the use of an excitation filter and dichroic mirror, hence, making the device compact, low-cost, portable and lightweight. The custom-built sample chamber is fabricated with a 3D printer to house the detector circuitry. We demonstrate that the developed fluorometer is able to distinguish between the cancer cell expressing GFP and the control cell. The fluorometer we developed exhibits immense potential for future applicability in the selective detection of fluorescently-labelled breast cancer cells. © 2019 Optical Society of America.</t>
  </si>
  <si>
    <t>Nandhini, V.L.; Roy, S.K.; Babu, K.</t>
  </si>
  <si>
    <t>https://www.scopus.com/inward/record.uri?eid=2-s2.0-85071679965&amp;doi=10.35940%2Fijitee.F1274.0486S419&amp;partnerID=40&amp;md5=71389f2e941c91469619606bd365f7d4</t>
  </si>
  <si>
    <t>Early detection and classification of breast tumors via mammographic images are critical for reducing mortality rates. We introduce a lightweight and efficient tumor detection model built on an enhanced YOLOv8 framework to support diagnosis. Firstly, we introduce a multi-scale lightweight convolution module named MSLConv. We further integrate batch normalization and the SILU activation function to create a comprehensive convolutional module called MSLCBS. To further enhance the model, we have restructured the detection head to substantially decrease the parameter count in this segment of the network. Additionally, to capture subtle features such as microcalcifications and irregular textures, we incorporate Focal Modulation to improve feature fusion capabilities. This approach aggregates and interacts with contextual information in a lightweight manner. Considering the diversity in the shape, texture, and size of breast tumors, we introduce WISE-IOU, a bounding box regression scheme to enhance the model’s generalization capability. All of the extensive experiments on CBIS-DDSM and INBREAST datasets have proven that our method achieves the highest mAP50 score with the fewest parameters and computational load, which validate its reliability. © The Author(s), under exclusive license to Springer Nature Singapore Pte Ltd. 2025.</t>
  </si>
  <si>
    <t>Breast cancer; Computer aided detection; Mammograms; Mass detection</t>
  </si>
  <si>
    <t>Biomedical engineering; Computer aided diagnosis; Convolution; Diseases; Textures; Tumors; X ray screens; Breast Cancer; Breast cancer classifications; Breast cancer detection; Breast tumour; Computer aided detection; Mammogram; Mammographic images; Mass detection; Mortality rate; Multi-scales; Mammography</t>
  </si>
  <si>
    <t>2-s2.0-105010211419</t>
  </si>
  <si>
    <t>Tang, Q.; Pamunuwa, D.; Weerasekera, R.</t>
  </si>
  <si>
    <t>Tang, Qijia (59934657100); Pamunuwa, Dinesh (6603254384); Weerasekera, Roshan (8568442900)</t>
  </si>
  <si>
    <t>59934657100; 6603254384; 8568442900</t>
  </si>
  <si>
    <t>DT2HDL: A Binary Decision Tree to HDL Generation Tool</t>
  </si>
  <si>
    <t>Proceedings - International Symposium on Quality Electronic Design, ISQED</t>
  </si>
  <si>
    <t>10.1109/ISQED65160.2025.11014334</t>
  </si>
  <si>
    <t>https://www.scopus.com/inward/record.uri?eid=2-s2.0-105007549200&amp;doi=10.1109%2FISQED65160.2025.11014334&amp;partnerID=40&amp;md5=107b8adae4032c47982cdde94f9aaebb</t>
  </si>
  <si>
    <t>Shinde R.K.; Alam M.S.; Hossain M.B.; Md Imtiaz S.; Kim J.; Padwal A.A.; Kim N.</t>
  </si>
  <si>
    <t>Squeeze-MNet: Precise Skin Cancer Detection Model for Low Computing IoT Devices Using Transfer Learning</t>
  </si>
  <si>
    <t>https://www.scopus.com/inward/record.uri?eid=2-s2.0-85145999195&amp;doi=10.3390%2fcancers15010012&amp;partnerID=40&amp;md5=e6bd4d826912f424515730eab17e2e5f</t>
  </si>
  <si>
    <t>Metal-dielectric interface based Plasmonic biosensors commonly known as Surface Plasmonic Resonance (SPR) used in numerous applications in the analysis of bio reagents interaction and detection of the biological pathogen, cells and provides the advantage of real-time label-free efficient method. Sensitivity is a key parameter to measure sensor performance during development. Among all the plasmonic configurations, waveguide coupled configuration is most effective. In such a configuration an SPR and a waveguide are coupled through an evanescent field. This provides superior control over the biological reagent interaction, greater sensitivity and a multichannel-robust sensing device. Such devices are very small in size, lightweight as compared to prism coupled configuration which is bulky. These devices are also equipped to segregate specific sensor responses from non-specific response simultaneous multi analytes analysis. In view of the aforesaid benefits of waveguide coupled SPR, our present work focuses on a dual channel integrated optical waveguide based on metal dielectric interface biosensor. To study the behaviour of a waveguide coupled SPR sensor, we carried out analysis and simulation of SPR on multilayer geometries using tumour-associated antigens (TAAs). First, we started with the analysis of an SPR in the multi-layer intersection and observed the effect of variation of material characteristics on SPR profile. Further, extended our investigation to multilayered optical waveguide and the propagation constant was calculated. TAA and Newton’s method were used for Lung Cancer and Breast Cancer infected tissue and sensitivity 300nm/RIU obtained. © BEIESP.</t>
  </si>
  <si>
    <t>Edge computing devices ideally need to process large amounts of sensor data and execute machine learning models in real-time. Deploying deep learning algorithms can be challenging in energy-constrained nodes with limited computational capacity, when using lightweight classification algorithms is essential. Decision Tree (DT) algorithms require fewer computational resources than Artificial Neural Networks (ANNs) while maintaining similar accuracy. However, implementing DTs on hardware becomes difficult as the number of nodes increases. This work proposes a framework for automatically generating Hardware Description Language (HDL) code for binary decision trees, simplifying their deployment on FPGAs or ASICs. The effectiveness of the DT2HDL tool was evaluated using five distinct datasets: electrical fault detection, electrical fault classification, heart disease, breast cancer, and Iris. Results from both HDL and Python simulations indicate that full-precision decision trees (DTs) and 8-bit quantized DTs achieve the same accuracy levels as artificial neural networks (ANNs) with more than five hidden neurons. © 2025 IEEE.</t>
  </si>
  <si>
    <t>ASIC; Decision Tree; Edge Computing; Electrical Fault; FPGAs; Internet of Things; Neural Network</t>
  </si>
  <si>
    <t>Deep neural networks; Binary decision trees; Computing devices; Description languages; Edge computing; Electrical faults; Generation tools; Hardware descriptions; Language generation; Large amounts; Neural-networks; Electric fault location</t>
  </si>
  <si>
    <t>2-s2.0-105007549200</t>
  </si>
  <si>
    <t>Wang, X.; Zeng, W.; Xu, J.; Zhang, S.; Gu, Y.; Li, B.; Wang, X.</t>
  </si>
  <si>
    <t>Wang, Xian (57698286600); Zeng, Wenzhi (55273339300); Xu, Junzeng (8331435800); Zhang, Senhao (59920325200); Gu, Yuexing (59397853100); Li, Benhui (59920147000); Wang, Xueyang (57345602400)</t>
  </si>
  <si>
    <t>57698286600; 55273339300; 8331435800; 59920325200; 59397853100; 59920147000; 57345602400</t>
  </si>
  <si>
    <t>MM-3D Unet: development of a lightweight breast cancer tumor segmentation network utilizing multi-task and depthwise separable convolution</t>
  </si>
  <si>
    <t>Frontiers in Oncology</t>
  </si>
  <si>
    <t>10.3389/fonc.2025.1563959</t>
  </si>
  <si>
    <t>https://www.scopus.com/inward/record.uri?eid=2-s2.0-105006687915&amp;doi=10.3389%2Ffonc.2025.1563959&amp;partnerID=40&amp;md5=faab156d9a85e140c94cb47c6fa02971</t>
  </si>
  <si>
    <t>Ref:31</t>
  </si>
  <si>
    <t>Singh S.; Arshid N.; Cinti S.</t>
  </si>
  <si>
    <t>Background and objectives: This paper introduces a novel lightweight MM-3DUNet (Multi-task Mobile 3D UNet) network designed for efficient and accurate segmentation of breast cancer tumors masses from MRI images, which leverages depth-wise separable convolutions, channel expansion units, and auxiliary classification tasks to enhance feature representation and computational efficiency. Methods: We propose a 3D depth-wise separable convolution, and construct channel expansional convolution (CEC) unit and inverted residual block (IRB) to reduce the parameter count and computational load, making the network more suitable for use in resource-constrained environments. In addition, an auxiliary classification task (ACT) is introduced in the proposed architecture to provide additional supervisory signals for the main task of segmentation. The network architecture features a contracting path for downsampling and an expanding path for precise localization, enhanced by skip connections that integrate multi-level semantic information. Results: The network was evaluated using a dataset of Dynamic Contrast Enhanced MRI (DCE-MRI) breast cancer images, and the results show that compared to the classical 3DU-Net, MM-3DUNet could significantly reduce model parameters by 63.16% and computational demands by 80.90%, while increasing segmentation accuracy by 1.30% in IoU (Intersection over Union). Conclusions: MM-3DUNet offers a substantial reduction in computational requirements of breast cancer mass segmentation network. This network not only enhances diagnostic precision but also supports deployment in diverse clinical settings, potentially improving early detection and treatment outcomes for breast cancer patients. © © 2025 Wang, Zeng, Xu, Zhang, Gu, Li and Wang.</t>
  </si>
  <si>
    <t>breast cancer images segmentation; convolutional neural networks; dynamic contrast enhanced MRI; multi-task mobile 3D UNet; resource-constrained environments</t>
  </si>
  <si>
    <t>https://www.scopus.com/inward/record.uri?eid=2-s2.0-85138460701&amp;doi=10.1016%2fj.bios.2022.114635&amp;partnerID=40&amp;md5=f759bcc7463db951ddc02436b7a35c09</t>
  </si>
  <si>
    <t>gadolinium pentetate meglumine; Article; breast cancer; cancer patient; deep learning; digital imaging and communications in medicine; dynamic contrast-enhanced magnetic resonance imaging; human; image segmentation; multi task mobile 3D unet; network analysis; treatment outcome</t>
  </si>
  <si>
    <t>The proceedings contain 21 papers. The special focus in this conference is on Healthcare Science and Engineering. The topics include: Privacy management in social network data publishing with community structure; multidimensional correlation hierarchical differential privacy for medical data with multiple privacy requirements; injecting differential privacy in rules extraction of rough set; a lightweight neural network to detect arrhythmias; bayesian differential privacy for high-dimensional medical data optimization; Auxiliary force EEG (AFEEG) recognition oriented to stroke patients; a multi-valued fuzzy logic for qualitative reasoning in healthcare; a new approach for anonymizing relational and transaction data; fall detection using a multistage deep convolutional network architecture; robust feature selection method of radiomics for grading glioma; Performance evaluation of RPL-based sensor data collection in challenging IoT environment; low-cost system for travel aid and obstacles detection for the visually impaired people; cardiovascular disease risk prediction based on random forest; ECG beat classification based on deep bidirectional long short-term memory recurrent neural network; deep convolutional neural networks for electrocardiogram classification; transfer learning-based behavioural task decoding from brain activity; fine-tuning ResNet for breast cancer classification from mammography; lung sound diagnosis with deep convolutional neural network and two-stage pipeline model; an improved data anonymization algorithm for incomplete medical dataset publishing.</t>
  </si>
  <si>
    <t>2-s2.0-105006687915</t>
  </si>
  <si>
    <t>Liu, S.; Ren, J.; Chen, Z.; Hu, K.; Xiao, F.; Li, X.; Gao, X.</t>
  </si>
  <si>
    <t>Li, T.; Liu, W.; Song, M.; Gu, Z.; Hai, L.</t>
  </si>
  <si>
    <t>Li, Taojuan (59762879400); Liu, Wen (56132382200); Song, Mingxian (59763347100); Gu, Zheng (59032579500); Hai, Ling (58596404400)</t>
  </si>
  <si>
    <t>59762879400; 56132382200; 59763347100; 59032579500; 58596404400</t>
  </si>
  <si>
    <t>Lightweight Detection Algorithm for Breast-Mass Features in Ultrasound Images</t>
  </si>
  <si>
    <t>https://www.scopus.com/inward/record.uri?eid=2-s2.0-85100334328&amp;doi=10.1109%2FBIBM49941.2020.9313511&amp;partnerID=40&amp;md5=fb3d8f43c53000a15005cfd528649a9e</t>
  </si>
  <si>
    <t>10.1109/ACCESS.2025.3564940</t>
  </si>
  <si>
    <t>https://www.scopus.com/inward/record.uri?eid=2-s2.0-105004054688&amp;doi=10.1109%2FACCESS.2025.3564940&amp;partnerID=40&amp;md5=3b8e5df01c4ea8781fb3d21c126d8551</t>
  </si>
  <si>
    <t>Downloaded</t>
  </si>
  <si>
    <t>Raiaan M.A.K.; Fahad N.M.; Mukta M.S.H.; Shatabda S.</t>
  </si>
  <si>
    <t>Real-time analysis of ultrasound videos using embedded terminals enables the rapid detection of breast masses and plays a crucial role in early breast cancer screening and diagnosis. However, as a paired organ with a large area, the breast consists of interwoven fatty layers, mammary ducts, glandular tissues, and masses, leading to a high false-positive rate in target detection. Unlike standard imaging modalities such as computed tomography, X-ray, and magnetic resonance imaging, ultrasound detection heavily depends on the sonographer’s techniques and expertise, which can lower detection accuracy, particularly in identifying small masses. This paper proposes a novel architecture, LEW-YOLO, to address the real-time detection demands of embedded terminal devices for breast ultrasound. First, we introduce an efficient multiscale convolutional (EMSC) module to improve feature extraction from complex backgrounds and enhance multiscale representation. Unlike traditional methods, EMSC employs multiple convolution branches with varying kernel sizes, enabling more effective multiscale feature capture. Second, the detection head of YOLOv8 is replaced with a lightweight shared detail-enhanced convolutional detection head (LSDECD) to improve the model’s ability to detect small masses. Finally, a weighted intersection-over-union (WIoU) loss function is integrated to better capture the complex boundaries of malignant masses. Experiments on the public BUSI dataset demonstrate that LEW-YOLO achieves an mAP50 of 91.6%, surpassing the YOLOv8n baseline (89.0%) by 2.6%. On the BUET dataset, LEW-YOLO attains an mAP50 of 83.3%, outperforming YOLOv8 (72.3%) by 11.0%. Moreover, the parameter count and GFLOPs are reduced by 26.6% and 22.2%, respectively. Thus, the proposed model effectively balances detection performance and lightweight design, making it well-suited for real-time applications on resource-constrained computing devices. © 2013 IEEE.</t>
  </si>
  <si>
    <t>breast masses; lightweight; multiscale convolutional; Target detection; YOLOv8</t>
  </si>
  <si>
    <t>Breast cancer diagnosis in multi-gigapixel whole slide images (WSIs) is an important task that highly relevant to cancer grading and prognosis. In recent years, many computer-aided diagnosis methods were proposed and achieved promising performance. However, they mostly suffer from heavy computational burden that becomes a significant barrier to clinical practice. Efficient solutions are urgently demanded but still less studied. In this paper, we propose a novel framework named EffiDiag for a fast and lightweight breast cancer diagnosis. To this end, a loss-modified U-net is developed at first to enable a fast suspected cancer Region Of Interest (ROI) localization. Therefore the subsequent patch-based classification, which commonly executes at the finest magnification hundreds of thousands times per WSI for cancer identification, could be carried out on these ROIs only rather than the whole WSI for speedup. Meanwhile, a super-efficient convolutional neural network (CNN) is devised to optimize the classification speed and resource consumption per classification. Experiments on the Camelyonl6 benchmark demonstrate, by integrating the two contributions into a well-established approach, 47x inference acceleration is obtained with limited accuracy drop, yet with much less resource consumption even compared to popular lightweight networks. © 2020 IEEE.</t>
  </si>
  <si>
    <t>https://www.scopus.com/inward/record.uri?eid=2-s2.0-85189017106&amp;doi=10.1016%2fj.bspc.2024.106279&amp;partnerID=40&amp;md5=95d649ab1ee2a45e346ae6d2bc3af7c6</t>
  </si>
  <si>
    <t>Computerized tomography; Image coding; Image compression; Image enhancement; Mammography; Ultrasonic testing; Breast mass; Detection algorithm; Lightweight; Multiscale convolutional; Rapid detection; Real time analysis; Targets detection; Ultrasound images; Ultrasound videos; YOLOv8; Ultrasonography</t>
  </si>
  <si>
    <t>Sanghavi, F.; Kezebou, L.; Panetta, K.; Agaian, S.</t>
  </si>
  <si>
    <t>2-s2.0-105004054688</t>
  </si>
  <si>
    <t>Liu, Y.; Li, H.; Zhu, Z.; Chen, C.; Zhang, X.; Jin, G.; Li, H.</t>
  </si>
  <si>
    <t>Liu, Yuan (59330380800); Li, Haipeng (59330023400); Zhu, Zhu (59744657600); Chen, Chen (58883024100); Zhang, Xiaojing (55765525700); Jin, Gongsheng (55765163000); Li, Hongtao (57196359413)</t>
  </si>
  <si>
    <t>59330380800; 59330023400; 59744657600; 58883024100; 55765525700; 55765163000; 57196359413</t>
  </si>
  <si>
    <t>RSDCNet: An efficient and lightweight deep learning model for benign and malignant pathology detection in breast cancer</t>
  </si>
  <si>
    <t>https://www.scopus.com/inward/record.uri?eid=2-s2.0-85096352764&amp;doi=10.1117%2F12.2558613&amp;partnerID=40&amp;md5=35bb3dd9c3a25059486a1936eef82f45</t>
  </si>
  <si>
    <t>Digital Health</t>
  </si>
  <si>
    <t>10.1177/20552076251336286</t>
  </si>
  <si>
    <t>https://www.scopus.com/inward/record.uri?eid=2-s2.0-105002973748&amp;doi=10.1177%2F20552076251336286&amp;partnerID=40&amp;md5=ace3391d039f324f6e94b157d7c13bce</t>
  </si>
  <si>
    <t>Background: Breast cancer is a leading malignant tumor among women globally, with its pathological classification into benign or malignant directly influencing treatment strategies and prognosis. Traditional diagnostic methods, reliant on manual interpretation, are not only time-intensive and subjective but also susceptible to variability based on the pathologist's expertise and workload. Consequently, the development of an efficient, automated, and precise pathological detection method is crucial. Methods: This study introduces RSDCNet, an enhanced lightweight neural network architecture designed for the automatic detection of benign and malignant breast cancer pathology. Utilizing the BreakHis dataset, which comprises 9109 microscopic images of breast tumors including various differentiation levels of benign and malignant samples, RSDCNet integrates depthwise separable convolution and SCSE modules. This integration aims to reduce model parameters while enhancing key feature extraction capabilities, thereby achieving both lightweight design and high efficiency. Results: RSDCNet demonstrated superior performance across multiple evaluation metrics in the classification task. The model achieved an accuracy of 0.9903, a recall of 0.9897, an F1 score of 0.9888, and a precision of 0.9879, outperforming established deep learning models such as EfficientNet, RegNet, HRNet, and ViT. Notably, RSDCNet's parameter count stood at just 1,199,662, significantly lower than HRNet's 19,254,102 and ViT's 85,800,194, highlighting its enhanced resource efficiency. Conclusion: The RSDCNet model presented in this study excels in the efficient and accurate classification of benign and malignant breast cancer pathology. Compared to traditional methods and other leading models, RSDCNet not only reduces computational resource consumption but also offers improved feature extraction and clinical interpretability. This advancement provides substantial technical support for the intelligent diagnosis of breast cancer, paving the way for more effective treatment planning and prognosis assessment. © The Author(s) 2025.</t>
  </si>
  <si>
    <t>benign and malignant detection; Breast cancer; deep learning; lightweight; pathological image</t>
  </si>
  <si>
    <t>Pramanik R.; Pramanik P.; Sarkar R.</t>
  </si>
  <si>
    <t>https://www.scopus.com/inward/record.uri?eid=2-s2.0-85147451303&amp;doi=10.1016%2fj.eswa.2023.119643&amp;partnerID=40&amp;md5=fc3cfad9dd31c4277bf96a7dab0d8ea8</t>
  </si>
  <si>
    <t>2-s2.0-105002973748</t>
  </si>
  <si>
    <t>Sharma, A.K.; Dhaka, A.; Nandal, A.</t>
  </si>
  <si>
    <t>Sharma, Arpit Kumar (57342897300); Dhaka, Arvind (56901093300); Nandal, Amita (55328038100)</t>
  </si>
  <si>
    <t>57342897300; 56901093300; 55328038100</t>
  </si>
  <si>
    <t>eHEALTH PLATFORMS FACILITATE BREAST CANCER: A Systematic Review</t>
  </si>
  <si>
    <t>According to the American cancer society, the average risk of women getting diagnosed with breast cancer during their life is 13%. The World Health Organization also reports that the number of cancer cases is projected to rise to 19.3 million by 2025. Recent research works point out that physicians can only diagnose cancer with 79% accuracy while machine learning procedures achieve 91% accuracy or more. The current challenges are early cancer detection and the efficient and accurate diagnosis of histopathology tissue samples. Several Deep Learning breast cancer classification models have been developed to assist medical practitioners. However, these methods are data hungry and require thousands of training image samples, often coupled with data augmentation to achieve satisfactory results with long training hours. In this paper, we propose a machine learning classification model by integrating the Parameter free Thresholding Adjacency Statistics (PFTAS) with Fibonacci-p patterns for breast cancer detection. Computer simulations on BreakHis cancer datasets in comparison to other machine learning and deep learning-based methods show that (i) the presented method helps eliminate dependence on large training data and data augmentation, (ii) robustness to noise and background stains, and (iii) lightweight model easy to train and deploy. © 2020 SPIE</t>
  </si>
  <si>
    <t>10.1201/9781003481959-5</t>
  </si>
  <si>
    <t>Roslidar, R.; Rahman, A.; Muharar, R.; Syahputra, M.R.; Arnia, F.; Syukri, M.; Pradhan, B.; Munadi, K.</t>
  </si>
  <si>
    <t>https://www.scopus.com/inward/record.uri?eid=2-s2.0-105002882511&amp;doi=10.1201%2F9781003481959-5&amp;partnerID=40&amp;md5=bbdd253eaa305ad66998c931dede8df3</t>
  </si>
  <si>
    <t>https://www.scopus.com/inward/record.uri?eid=2-s2.0-85087800211&amp;doi=10.1109%2FACCESS.2020.3004056&amp;partnerID=40&amp;md5=6b6ab728d09e8e7a1c908b4e78500b47</t>
  </si>
  <si>
    <t>Ref:44</t>
  </si>
  <si>
    <t>Patil A.; Diwakar H.; Sawant J.; Kurian N.C.; Yadav S.; Rane S.; Bameta T.; Sethi A.</t>
  </si>
  <si>
    <t>Breast cancer is one of the most common and deadly cancers among women of the world, underscoring the urgent need for effective diagnostic techniques that facilitate early detection and treatment. This review provides a comprehensive overview of Breast Histopathological Image Analysis (BHIA) with the help of artificial neural networks, categorizing these approaches into the classical and even in the deep neural networks for detailed investigation purposes. We will summarize the relevant studies and will also analyze the existing models and networks to identify which is the most effective algorithms, alongside a compilation of publicly available datasets to support future research efforts. In addition to BHIA, we explore the potential of thermography to be used as a non-invasive and non-contact screening method for early breast cancer detection. This technique can identify tumors at precancerous stages by examining temperature distribution in the breast tissue. Although thermograms can be analyzed using convolutional neural networks (CNNs) for classification into normal and abnormal categories, their application in breast thermogram classification remains underutilized. This study outlines the current progress in integrating CNNs with breast thermography, discussing the distinct characteristics of healthy versus cancerous thermographic patterns. We present a step-by-step approach to classifying breast thermograms using CNN models, illustrated with simulation examples demonstrating feature learning. Lastly, we propose future research directions focused on developing representative datasets, enhancing image segmentation, optimizing kernel selection, and creating lightweight CNN models to boost classification performance. This comprehensive review aims to inform and guide researchers in advancing breast cancer detection methodologies. © 2025 selection and editorial matter, Temitope Emmanual Komolafe, Patrice Monkam, Blessing Funmi Komolafe and Nizhuan Wang.</t>
  </si>
  <si>
    <t>Efficient quality control of whole slide pathology images with human-in-the-loop training</t>
  </si>
  <si>
    <t>Book chapter</t>
  </si>
  <si>
    <t>2-s2.0-105002882511</t>
  </si>
  <si>
    <t>https://www.scopus.com/inward/record.uri?eid=2-s2.0-85152659545&amp;doi=10.1016%2fj.jpi.2023.100306&amp;partnerID=40&amp;md5=4645772d162dfceb54509e1c245a544a</t>
  </si>
  <si>
    <t>11th International Symposium on Integrated Uncertainty in Knowledge Modelling and Decision Making, IUKM 2025</t>
  </si>
  <si>
    <t>15586 LNAI</t>
  </si>
  <si>
    <t>Developing a breast cancer screening method is very important to facilitate early breast cancer detection and treatment. Building a screening method using medical imaging modality that does not cause body tissue damage (non-invasive) and does not involve physical touch is challenging. Thermography, a non-invasive and non-contact cancer screening method, can detect tumors at an early stage even under precancerous conditions by observing temperature distribution in both breasts. The thermograms obtained on thermography can be interpreted using deep learning models such as convolutional neural networks (CNNs). CNNs can automatically classify breast thermograms into categories such as normal and abnormal. Despite their demostrated utility, CNNs have not been widely used in breast thermogram classification. In this study, we aimed to summarize the current work and progress in breast cancer detection based on thermography and CNNs. We first discuss of breast thermography potential in early breast cancer detection, providing an overview of the availability of breast thermal datasets together with publicly accessible. We also discuss characteristics of breast thermograms and the differences between healthy and cancerous thermographic patterns. Breast thermogram classification using a CNN model is described step by step including a simulation example illustrating feature learning. We cover most research related to the implementation of deep neural networks for breast thermogram classification and propose future research directions for developing representative datasets, feeding the segmented image, assigning a good kernel, and building a lightweight CNN model to improve CNN performance. © 2013 IEEE.</t>
  </si>
  <si>
    <t>Koma’rudin, N.; Zakaria, Z.; Soh, P.J.; Lago, H.; Alsariera, H.; Hassan, N.</t>
  </si>
  <si>
    <t>https://www.scopus.com/inward/record.uri?eid=2-s2.0-105002727288&amp;partnerID=40&amp;md5=566256cd2939b0a177cc21fe40138721</t>
  </si>
  <si>
    <t>https://www.scopus.com/inward/record.uri?eid=2-s2.0-85092131911&amp;doi=10.15866%2Firecap.v10i4.18560&amp;partnerID=40&amp;md5=8ce1c48bc14fe53278896f221f0c083c</t>
  </si>
  <si>
    <t>2nd International Conference on Trends in Electronics and Health Informatics, TEHI 2022</t>
  </si>
  <si>
    <t>https://www.scopus.com/inward/record.uri?eid=2-s2.0-85164922761&amp;partnerID=40&amp;md5=d880d5fc9abc57f7b03363fc1dc6a912</t>
  </si>
  <si>
    <t>The proceedings contain 29 papers. The special focus in this conference is on Integrated Uncertainty in Knowledge Modelling and Decision Making. The topics include: Information Fusion as a Useful Tool to Estimate Parameters from Imprecise Data?; robust Classification in Bayesian Neural Networks; nonparametric Estimation Using Kolmogorov-Arnold Network; A Local PCA Model Induced from Linear Fuzzy Clustering with Cluster Separation; a Revised Method on Judging Abstract Shape of a Curve on a Two-Dimensional Plane; SMC-PATE: A Secure Enhanced Private Aggregation of Teacher Ensembles with Secure Multiparty Computation; self-explaining Neural Network for Multi-criteria Sentiment Analysis; a Multimodal Deep Ensemble Framework for Skin Lesion Classification; fourier-Enhanced Student-Teacher Distillation for Semi-supervised Medical Image Segmentation; Real-Time Monitoring and Anomaly Detection in Server Lab Environments Using ESP32 DevKit and VAE-Bi-LSTM Hybrid Model: A Case Study at HUFLIT University, Ho Chi Minh City; Onboarding Process from Power-Up to Motion Detection Using ESP32-EYE: A Quick and Comprehensive Approach; enhancing Iris Verification Through Multiple Distance Measurement Fusion and Enrollment Screening Mechanism; enhance Biometric Authentication: Integrating Iris and Periocular Verification Through Support Vector Classification; Lite-SCMamba: A Lightweight Model Applying Spatial and Channel Attention with Mamba Framework for Medical Image Segmentation; classification of Breast Cancer for Mammography Using High-Resolution Network; improving Brain Disease Classification Accuracy Using Ensemble Learning; lung Cancer Detection Using Deep Neural Networks and Radiological Imaging; integration Vision-Language Models for Feature Extraction in Multi-camera Multi-object Tracking; Enhance Air Quality Index Prediction with Inception Time - BiLSTM Model and Huber Loss; enhancing Pose Adaptability in Virtual Try-On Systems; MiniMedMind: Small-Scale LLM for High-Performance Medical VQA on Chest X-ray; Enhanced Human Action Recognition from Synthetic UAVs Data Using Landmark Extraction and Mamba-Based Model.</t>
  </si>
  <si>
    <t>2-s2.0-105002727288</t>
  </si>
  <si>
    <t>Modu, Falmata (57215596708); Prasad, Rajesh (57191422092); Aliyu, Farouq Muhammad (56780128000)</t>
  </si>
  <si>
    <t>57215596708; 57191422092; 56780128000</t>
  </si>
  <si>
    <t>10.1109/ACCESS.2025.3556517</t>
  </si>
  <si>
    <t>Jiang X.; Wang S.; Zhang Y.</t>
  </si>
  <si>
    <t>Vision transformer promotes cancer diagnosis: A comprehensive review</t>
  </si>
  <si>
    <t>https://www.scopus.com/inward/record.uri?eid=2-s2.0-85191815479&amp;doi=10.1016%2fj.eswa.2024.124113&amp;partnerID=40&amp;md5=d4084eed0cfc3501fd77cc3749085982</t>
  </si>
  <si>
    <t>Cancer is an asymptomatic disease that can easily affect tissues in multiple parts of the body, and it is one of the leading causes of death. Therefore, it is crucial to detect cancer tissues at the early stage. Moreover, measurement techniques and instruments that can be used for their backscattered signal gathering, processing and image reconstruction are crucial to ensure the accuracy of generated image; hence, the accuracy of tumour detection in breasts. One of the most critical components that should be carefully designed in such systems is the radiator, which functions as the main sensing component. Ideally, it should be lightweight, compact, wideband and unidirectional. By using such radiator, the performance of the antennas can be improved in terms of directivity, gain, efficiency and Specific Absorption Rate (SAR) to result in measurements with close accuracy compared to conventional medical imaging. This paper presents a review of the sensing requirements for microwave breast imaging application, which is aimed to provide a proper understanding, importance and recent developments of radiator and hardware for microwave imaging (MWI) application. © 2020 Praise Worthy Prize S.r.l.-All rights reserved.</t>
  </si>
  <si>
    <t>Moussa, M.N.; Madi, M.A.; Kabalan, K.Y.</t>
  </si>
  <si>
    <t>Breast cancer; convolutional neural network; deep learning; Keras; knowledge distillation; SDG3; teacher-student model</t>
  </si>
  <si>
    <t>Breath controlled devices; Convolutional neural networks; Deep neural networks; Delay tolerant networks; Diagnosis; Inference engines; Personnel training; Students; Teaching; Breast Cancer; Breast cancer detection; Convolutional neural network; Deep learning; Keras; Knowledge distillation; SDG3; Student Modeling; Teacher-student model; Teachers'; Diseases</t>
  </si>
  <si>
    <t>https://www.scopus.com/inward/record.uri?eid=2-s2.0-85126741088&amp;doi=10.1109%2FICECET52533.2021.9698733&amp;partnerID=40&amp;md5=187048564131139517e83cff935e163d</t>
  </si>
  <si>
    <t>2-s2.0-105002579088</t>
  </si>
  <si>
    <t>15585 LNAI</t>
  </si>
  <si>
    <t>https://www.scopus.com/inward/record.uri?eid=2-s2.0-105002576396&amp;partnerID=40&amp;md5=9618c057487310401bb53d4a16c8c495</t>
  </si>
  <si>
    <t>Nathiya S.; Sumitha J.</t>
  </si>
  <si>
    <t>2-s2.0-105002576396</t>
  </si>
  <si>
    <t>Automatic Biological Data Analysis for Breast Cancer Detection and Classification</t>
  </si>
  <si>
    <t>Saha, M.; Chakraborty, M.; Maiti, S.; Das, D.</t>
  </si>
  <si>
    <t>Saha, Mousumi (36053451200); Chakraborty, Mainak (57218576784); Maiti, Suchismita (55816828700); Das, Deepanwita (49361092600)</t>
  </si>
  <si>
    <t>https://www.scopus.com/inward/record.uri?eid=2-s2.0-85193049606&amp;doi=10.33472%2fAFJBS.6.4.2024.429-445&amp;partnerID=40&amp;md5=3e0d081356f772bfa52c32a559b5db71</t>
  </si>
  <si>
    <t>36053451200; 57218576784; 55816828700; 49361092600</t>
  </si>
  <si>
    <t>Breast-NET: a lightweight DCNN model for breast cancer detection and grading using histological samples</t>
  </si>
  <si>
    <t>Neural Computing and Applications</t>
  </si>
  <si>
    <t>10.1007/s00521-024-10298-9</t>
  </si>
  <si>
    <t>https://www.scopus.com/inward/record.uri?eid=2-s2.0-85200950698&amp;doi=10.1007%2Fs00521-024-10298-9&amp;partnerID=40&amp;md5=3f912bba6607085a2482b4147b7e4d35</t>
  </si>
  <si>
    <t>The number of cancer diagnosed patients is rapidly increasing nowadays. Therefore, researchers are putting tremendous efforts to achieve efficient early cancer detection techniques in order to improve the survival rates as much as possible. Along this line and using EM detection approach, a miniaturized inward fractal antenna of size text{10} times 10 text{mm}{2} {(0.25lambdatimes 0.25lambda)} is designed, simulated in HFSS, fabricated on an FR4 substrate, and measured using a VNA network analyzer. It shows good impedance matching at 7.7 GHz with a gain of 2.9 dBi. This antenna is a good candidate for detecting the presence of a breast tumor because it is easy to fabricate by chemical etching with a low cost. Also, having a lightweight of 2g and a small size makes it suitable for wearable detection systems. © 2021 IEEE.</t>
  </si>
  <si>
    <t>Breast cancer is a prevalent and highly lethal cancer affecting women globally. While non-invasive techniques like ultrasound and mammogram are used for diagnosis, histological examination after biopsy is considered the gold standard. However, manual examination of tissues for abnormality is labor-intensive, expensive, and requires prior domain knowledge. Early detection, awareness, and access to specialized medical infrastructure in resource-constrained and remote areas are significant challenges but crucial for saving lives. In recent years, deep learning-based approaches have shown promising results in breast cancer detection, facilitated by advancements in GPU memory, computation power, and the availability of digital data. Motivated by these observations, we propose the Breast-NET deep convolutional neural network model for breast cancer detection and grading using histological images. Our model’s performance is evaluated on the BreakHis dataset, and we demonstrate its generalization ability on the Invasive Ductal Carcinoma (IDC) grading and IDC datasets. Extensive experimental and statistical performance analysis, along with an ablation study, validates the efficiency of our proposed model. Furthermore, we demonstrate the effectiveness of transfer learning with seven pre-trained convolutional neural networks for breast cancer detection and grading. Experimental results show that our framework outperforms state-of-the-art approaches in terms of accuracy, space, and computational complexity for the BreakHis, IDC grading, and IDC datasets. © The Author(s), under exclusive licence to Springer-Verlag London Ltd., part of Springer Nature 2024.</t>
  </si>
  <si>
    <t>BreakHis; Breast cancer; Breast-NET; Deep learning; IDC; IDC grading; Transfer learning</t>
  </si>
  <si>
    <t>Convolution; Convolutional neural networks; Deep neural networks; Diagnosis; Diseases; Domain Knowledge; Medical imaging; Ultrasonic applications; Breakhis; Breast Cancer; Breast cancer detection; Breast cancer grading; Breast-NET; Deep learning; Invasive ductal carcinoma grading; Invasive ductal carcinomata; Transfer learning; Grading</t>
  </si>
  <si>
    <t>2-s2.0-85200950698</t>
  </si>
  <si>
    <t>Yan C.; Zeng X.; Xi R.; Ahmed A.; Hou M.; Tunio M.H.</t>
  </si>
  <si>
    <t>Abimouloud, M.L.; Bensid, K.; Elleuch, M.; Ben Ammar, M.B.; Kherallah, M.</t>
  </si>
  <si>
    <t>Abimouloud, Mouhamed Laid (58965715700); Bensid, Khaled (57202281897); Elleuch, Mohamed (56626761200); Ben Ammar, Mohamed (36800833900); Kherallah, Monji (6602672496)</t>
  </si>
  <si>
    <t>PLA—A Privacy-Embedded Lightweight and Efficient Automated Breast Cancer Accurate Diagnosis Framework for the Internet of Medical Things</t>
  </si>
  <si>
    <t>58965715700; 57202281897; 56626761200; 36800833900; 6602672496</t>
  </si>
  <si>
    <t>Vision transformer based convolutional neural network for breast cancer histopathological images classification</t>
  </si>
  <si>
    <t>https://www.scopus.com/inward/record.uri?eid=2-s2.0-85180677552&amp;doi=10.3390%2felectronics12244923&amp;partnerID=40&amp;md5=11c0022513ed79704d6025309412211a</t>
  </si>
  <si>
    <t>10.1007/s11042-024-19667-x</t>
  </si>
  <si>
    <t>https://www.scopus.com/inward/record.uri?eid=2-s2.0-85197368415&amp;doi=10.1007%2Fs11042-024-19667-x&amp;partnerID=40&amp;md5=07c57692e436c8a336eca0f5a784b8e8</t>
  </si>
  <si>
    <t>Breast cancer (BC) is a widespread and lethal cancer affecting women world- wide. Early diagnosis plays a pivotal role in ensuring survival, as late detection can result in a fatal outcome. Convolutional neural networks (CNNs) have made significant contributions to the task of medical imaging modalities and have dis- played promise in addressing this challenge. Recently, the success of the vision transformer (ViT) architecture has encouraged the use of the attention mecha- nism in computer-aided diagnosis (CAD) tasks. However, the ViT is known for its data-intensive nature and a substantial number of parameters and needs power- ful computer resources when training, which often leads to the same performance compared to CNNs. These challenges are particularly evident in tasks involving medical image datasets with complex images and limited data. This problem- atic situation led to the suggestion three of low-weight parameter systems based on convolution and attention techniques: vision transformer base model (ViT), compact convolution transformers (CCT), and lightweight mobile vision trans- formers (MVIT). These systems are developed by using the BreakHis dataset, which includes images captured at different magnification levels (40x, 100x, 200x, 400x), for both binary and multi classification of breast cancer subtypes. These low-weight hybrid ViT-CNN networks operate directly on input patches and convolution layers, to improve feature extraction and attention layers to train patches in all networks. This approach results in lower training time and fewer parameters while achieving accurate breast tumors classification. The proposed method is based on splitting the input image into patches and then focusing them on the area of cancerous lumps, providing a sequence of linear embedding of these patches as input. Second, we applied a convolution layer directly to the histopathology input patches, with the fewest possible modifications. Finally, we train patches in all transformer encoder layers to evaluate the performance of the classification of breast subtypes. The performance accuracies of our suggested models are 98.64% for VIT, 96.99% for CCT and 97.52% for MVIT. Moreover, the proposed models were compared with state-of-the-art models using the same dataset. Our study demonstrates how convolution and attention mechanisms can minimize computational training resources and decision time, to develop high- performing computer-aided analyses for breast cancer diagnosis. The source codes are accessible at https://github.com/abimouloud/ViT-CNN. © The Author(s), under exclusive licence to Springer Science+Business Media, LLC, part of Springer Nature 2024.</t>
  </si>
  <si>
    <t>The proceedings contain 27 papers. The special focus in this conference is on Intelligent Computing and Networking. The topics include: Exploiting Processor Variability for Efficient Application Mapping; data Sharing Over the Cloud Based on Ring Signature; data Analytics on Columnar Databases in Big Data Environment; real Time Multiple Object Detection on Low-Constrained Devices using Lightweight Deep Neural Network; Researcher Framework Using MongoDB and FCM Clustering for Prediction of the Future of Patients from EHR; performance Level Evaluation of Cryptographic Algorithms; driver Activity Monitoring Using MobileNets; a Review of Deep Learning Techniques Used in Breast Cancer Image Classification; Prediction of nMAG in PMIPv6 with the Help of MN Positions; surveillance System for Intruder Detection Using Facial Recognition; clinical Risk Prediction of Acute Coronary Syndrome Using Deep Learning Approach; genetic Algorithm for Feature Selection and Parameter Optimization to Enhance Learning on Framingham Heart Disease Dataset; securing IoT Devices Generated Data Using Homomorphic Encryption; Secure Data Aggregation and Data Transmission Using HMAC Protocol in Cluster Base Wireless Sensor Network; performance Evaluation of Adversarial Examples on Deep Neural Network Architectures; study on Analysis of Gene Expression Dataset and Identification of Differentially Expressed Genes; A Modified EDDKA Routing Approach to Enhance Quality of Service (QoS)-Enabled Data Dissemination in VANETs; a Novel and Secure Approach for Quantum Key Distribution in a Cloud Computing Environment; voting Using Blockchain Technology; deepfake Detection Approaches Using Deep Learning: A Systematic Review; secured Crowdfunding Platform Using Blockchain; review of Wireless Sensor Network Security Schemes; development of Agriculture Field Using Machine Learning.</t>
  </si>
  <si>
    <t>Breast cancer; Computer-aided diagnosis; Convolutional vision transformer; Histopathological images; Light weight vision transformer; Multi classification</t>
  </si>
  <si>
    <t>Classification (of information); Convolution; Convolutional neural networks; Diseases; Image classification; Medical imaging; Breast Cancer; Convolutional neural network; Convolutional vision transformer; Histopathological images; Images classification; Light weight; Light weight vision transformer; Mobile vision; Multi-classification; Performance; Computer aided diagnosis</t>
  </si>
  <si>
    <t>Ref:39</t>
  </si>
  <si>
    <t>2-s2.0-85197368415</t>
  </si>
  <si>
    <t>Kalita M.; Mahanta L.B.; Das A.K.; Nath M.</t>
  </si>
  <si>
    <t>Li, F.; Ma, J.; Wen, T.; Tian, Z.; Liang, H.-N.</t>
  </si>
  <si>
    <t>Li, Fengze (57477389800); Ma, Jieming (43661483100); Wen, Tianxi (57477773100); Tian, Zhongbei (56723305000); Liang, Hai Ning (8636386200)</t>
  </si>
  <si>
    <t>57477389800; 43661483100; 57477773100; 56723305000; 8636386200</t>
  </si>
  <si>
    <t>https://www.scopus.com/inward/record.uri?eid=2-s2.0-85190974543&amp;doi=10.11591%2fijeecs.v34.i3.pp1739-1752&amp;partnerID=40&amp;md5=87a1d84832d6f52d00a398b237c60a2a</t>
  </si>
  <si>
    <t>HI-Net: A novel histopathologic image segmentation model for metastatic breast cancer via lightweight dataset construction</t>
  </si>
  <si>
    <t>Heliyon</t>
  </si>
  <si>
    <t>e38410</t>
  </si>
  <si>
    <t>10.1016/j.heliyon.2024.e38410</t>
  </si>
  <si>
    <t>https://www.scopus.com/inward/record.uri?eid=2-s2.0-85205341198&amp;doi=10.1016%2Fj.heliyon.2024.e38410&amp;partnerID=40&amp;md5=4edc8cb7c9c4442322cf8493b0c31c0b</t>
  </si>
  <si>
    <t>Since 2020, breast cancer has remained the most prevalent cancer worldwide and the World Health Organisation projects significant increases by 2040, with new cases expected to exceed 3 million annually (a 40% increase) and deaths to surpass 1 million (a 50% increase), highlighting the urgent need for advancements in detection and treatment. Current detection of metastasis is highly dependent on labour-intensive and error-prone pathological examination of large-scale biotissue. Given the high-resolution (100,000 × 100,000 gigapixels) but limited quantity of open-source pathological slide datasets, existing deep learning models face preprocessing challenges. This paper introduces HI-Net, a high-speed panoramic feature-extraction pyramid network for rapid and accurate detection of metastatic breast cancer, balancing panoramic segmentation and local attention. Additionally, a lightweight pathological slide dataset optimised for 512 x 512-pixel resolution, derived from downsampled and reassembled competitive datasets, accelerates training and reduces computational costs. HI-Net demonstrates superior performance on existing medical imaging competition datasets and our lightweight dataset, evidencing its effectiveness across datasets and potential for contributing to the generalisation of intelligent diagnostics. © 2024 The Author(s)</t>
  </si>
  <si>
    <t>Breast cancer; Deep learning; Histopathology slide; Intelligent diagnosis; Medical imaging</t>
  </si>
  <si>
    <t>2-s2.0-85205341198</t>
  </si>
  <si>
    <t>Jiang, X.; Wang, S.; Zhang, Y.</t>
  </si>
  <si>
    <t>Jiang, Xiaoyan (57208545370); Wang, S. Hua (36544650700); Zhang, Yudong (35786830100)</t>
  </si>
  <si>
    <t>57208545370; 36544650700; 35786830100</t>
  </si>
  <si>
    <t>10.1016/j.eswa.2024.124113</t>
  </si>
  <si>
    <t>https://www.scopus.com/inward/record.uri?eid=2-s2.0-85191815479&amp;doi=10.1016%2Fj.eswa.2024.124113&amp;partnerID=40&amp;md5=9183e2d869057da768091324b7932d88</t>
  </si>
  <si>
    <t>The proceedings contain 40 papers. The special focus in this conference is on Evolving Technologies for Computing, Communication and Smart World. The topics include: Event-Triggered Share Price Prediction; a Review: Efficient Transportation—Future Aspects of IoV; Compact High Gain 28 GHz Concentric Circular Director Low-Cost Antenna for 5G Millimeter-Wave Communication; preface; toward Response-Type Identification for the Real Time; questionnaire-Based Prediction of Hypertension Using Machine Learning; nature-Inspired Computing Behaviour of Cellular Automata; a Survey on Transport Layer Protocols for Reliable and Secure Wireless Sensor Networks; A Lightweight Exchangeable Encryption Scheme for IoT Devices Based on Vigenere Cipher and MLS Keystream; improving Steepest Descent Method by Learning Rate Annealing and Momentum in Neural Network; fingerprint and Face-Based Secure Biometric Authentication System Using Optimized Robust Features; DevOps, DevSecOps, AIOPS- Paradigms to IT Operations; Optimized Route Discovery and Node Registration for FANET; 4.1 GHz Low-Phase Noise Differential XCP LC-VCO with High Q and LC Noise Filtering; secured Surveillance Storage Model Using Blockchain; automatic Leaf Species Recognition Using Deep Neural Network; information Retrieval in Financial Documents; VNF Security in Telco Environment; Rank-Level Fusion of Random Indexing, Word Embedding, and TF-IDF-Based Rankings for Clinical Document Retrieval; a Novel Feature Engineering Approach for Twitter-Based Text Sentiment Analysis; Survey on DDoS and EDoS Attack in Cloud Environment; preprocessing Steps for Opinion Mining on Tweets; machine Learning-Based Lightweight Android Malware Detection System with Static Features; area and Power Efficient 2 Bit Multiplier by Using Enhanced Half Adder; the Modified Algorithm of Quantum Key Distribution System Synchronization; breast Cancer Classification Using Transfer Learning.</t>
  </si>
  <si>
    <t>17/01/2026</t>
  </si>
  <si>
    <t>Ahmad, B.; Sun, S.; Li, J.; Lidan, B.</t>
  </si>
  <si>
    <t>exist</t>
  </si>
  <si>
    <t>An Efficient Abnormality Classification for Mammogram Images</t>
  </si>
  <si>
    <t>EpiBrCan-Lite: A lightweight deep learning model for breast cancer subtype classification using epigenomic data</t>
  </si>
  <si>
    <t>https://www.scopus.com/inward/record.uri?eid=2-s2.0-85125349633&amp;doi=10.1109%2FICCIS54243.2021.9676187&amp;partnerID=40&amp;md5=1f418c7a52230bcb6b8e2c667c7f672a</t>
  </si>
  <si>
    <t>Privacy-preserving medical diagnosis system with Gaussian kernel-based support vector machine</t>
  </si>
  <si>
    <t>Label Cleaning Multiple Instance Learning: Refining Coarse Annotations on Single Whole-Slide Images</t>
  </si>
  <si>
    <t>Background: The approaches based on vision transformers (ViTs) are advancing the field of medical artificial intelligence (AI) and cancer diagnosis. Recently, many researchers have developed artificial intelligence methods for cancer diagnosis based on ViTs. In this paper, 98 pertinent articles since 2020 were carefully chosen from digital databases, including Google scholar, Elsevier, and Springer Link, to review the research progress of artificial intelligence methods for cancer imaging based on ViT. Method: The basic structure of ViT is introduced, and corresponding modules such as patch embedding, positional embedding, transformer encoder, multi-head self-attention (MSA), layer normalization (LN), and residual connections, multilayer perceptron (MLP) are elaborated; a comprehensive review of improved ViT models in the medical field is presented. The application of ViT technology in cancer analysis based on medical images was reviewed. Results: ViT has achieved great success in cancer diagnosis based on medical images, showing its advantages in image classification, image reconstruction, image detection, image segmentation, image registration, image fusion, and other tasks. In these task studies, the most common task is cancer image classification and segmentation. There is still a lot of room for improvement in the aspects of multi-task learning, multi-modal learning, model generality, generalization ability, and explainability, and it also faces the mutual restriction of model scale and performance. Conclusion: The ViT training model for cancer diagnosis can potentially improve. The ViT model of self-supervised learning and semi-supervised learning mechanism is promising research. The lightweight attention module design, ViTs based on mobile networks, and the development of 3DViT will promote cancer diagnosis based on medical images to be more accurate and efficient. © 2024 Elsevier Ltd</t>
  </si>
  <si>
    <t>Breast cancer; Cancer diagnosis; Colorectal cancer; Lung cancer; Prostate cancer; Vision transformer</t>
  </si>
  <si>
    <t>Computer aided diagnosis; Computer aided instruction; Diseases; Embeddings; Image classification; Image fusion; Image reconstruction; Medical imaging; Artificial intelligence methods; Breast Cancer; Cancer diagnosis; Colorectal cancer; Images classification; Images segmentations; Lung Cancer; Prostate cancers; Vision transformer; Image segmentation</t>
  </si>
  <si>
    <t>2-s2.0-85191815479</t>
  </si>
  <si>
    <t>Tuo, S.; Jiang, J.</t>
  </si>
  <si>
    <t>Tuo, Shouheng (53982078000); Jiang, Jiewei (57193154133)</t>
  </si>
  <si>
    <t>53982078000; 57193154133</t>
  </si>
  <si>
    <t>A Novel Detection Method for High-Order SNP Epistatic Interactions Based on Explicit-Encoding-Based Multitasking Harmony Search</t>
  </si>
  <si>
    <t>Cost optimization using normal linear regression method for breast cancer Type I skin</t>
  </si>
  <si>
    <t>Interdisciplinary Sciences - Computational Life Sciences</t>
  </si>
  <si>
    <t>TrEnD: A transformer-based encoder-decoder model with adaptive patch embedding for mass segmentation in mammograms</t>
  </si>
  <si>
    <t>10.1007/s12539-024-00621-2</t>
  </si>
  <si>
    <t>https://www.scopus.com/inward/record.uri?eid=2-s2.0-85197428747&amp;doi=10.1007%2Fs12539-024-00621-2&amp;partnerID=40&amp;md5=7c640ad93f559c11f522172e6ca7bd7d</t>
  </si>
  <si>
    <t>LYSTO: The Lymphocyte Assessment Hackathon and Benchmark Dataset</t>
  </si>
  <si>
    <t>To elucidate the genetic basis of complex diseases, it is crucial to discover the single-nucleotide polymorphisms (SNPs) contributing to disease susceptibility. This is particularly challenging for high-order SNP epistatic interactions (HEIs), which exhibit small individual effects but potentially large joint effects. These interactions are difficult to detect due to the vast search space, encompassing billions of possible combinations, and the computational complexity of evaluating them. This study proposes a novel explicit-encoding-based multitasking harmony search algorithm (MTHS-EE-DHEI) specifically designed to address this challenge. The algorithm operates in three stages. First, a harmony search algorithm is employed, utilizing four lightweight evaluation functions, such as Bayesian network and entropy, to efficiently explore potential SNP combinations related to disease status. Second, a G-test statistical method is applied to filter out insignificant SNP combinations. Finally, two machine learning-based methods, multifactor dimensionality reduction (MDR) as well as random forest (RF), are employed to validate the classification performance of the remaining significant SNP combinations. This research aims to demonstrate the effectiveness of MTHS-EE-DHEI in identifying HEIs compared to existing methods, potentially providing valuable insights into the genetic architecture of complex diseases. The performance of MTHS-EE-DHEI was evaluated on twenty simulated disease datasets and three real-world datasets encompassing age-related macular degeneration (AMD), rheumatoid arthritis (RA), and breast cancer (BC). The results demonstrably indicate that MTHS-EE-DHEI outperforms four state-of-the-art algorithms in terms of both detection power and computational efficiency. The source code is available at https://github.com/shouhengtuo/MTHS-EE-DHEI.git. Graphical abstract: (Figure presented.) © International Association of Scientists in the Interdisciplinary Areas 2024.</t>
  </si>
  <si>
    <t>Explicit-encoding; High-order SNP epistatic interactions (HEIs); Multitasking harmony search (MTHS); Single-nucleotide polymorphism (SNP)</t>
  </si>
  <si>
    <t>algorithm; Bayes theorem; bioinformatics; epistasis; genetic predisposition; genetics; human; machine learning; multifactor dimensionality reduction; procedures; single nucleotide polymorphism; Algorithms; Bayes Theorem; Computational Biology; Epistasis, Genetic; Genetic Predisposition to Disease; Humans; Machine Learning; Multifactor Dimensionality Reduction; Polymorphism, Single Nucleotide</t>
  </si>
  <si>
    <t>End-to-End Deep Learning for Detecting Metastatic Breast Cancer in Axillary Lymph Node from Digital Pathology Images</t>
  </si>
  <si>
    <t>2-s2.0-85197428747</t>
  </si>
  <si>
    <t>Raiaan, Mohaimenul Azam Khan (58193535900); Fahad, Nur Mohammad (58193724800); Mukta, Md Saddam Hossain (55490012800); Shatabda, Swakkhar (56037035700)</t>
  </si>
  <si>
    <t>TaiChiNet: Negative-Positive Cross-Attention Network for Breast Lesion Segmentation in Ultrasound Images</t>
  </si>
  <si>
    <t>58193535900; 58193724800; 55490012800; 56037035700</t>
  </si>
  <si>
    <t>10.1016/j.bspc.2024.106279</t>
  </si>
  <si>
    <t>Deep learning has gained the attention of researchers around the world. We used several deep learning models to check whether they could potentially be used as a clinical utility by pathologists to detect lymph node metastases in tissue sections of women with breast cancer to save time and reduce the burden on healthcare. For that purpose, we selected three deep learning models of different depths. The deepest one (DenseNet201), medium depth (Resent50), lightweight (Mobie/Net) and trained them in different experiments under various hyperparameters settings from scratch. The test set consists of 32000 histopathological images. We used absolute accuracy, sensitivity, specificity, and F1-score as a performance measure. Apart from these measures, we observe the effect of data augmentation and the number of epochs on the classification performance. We achieved an average accuracy of 85.6%, 87.5%, and 88.4% for MobileNet V1, ResNet50, and DenseNet201, respectively, which further improves to 91.1 %, 93.8%, and 95.7%, respectively, when augmented images are used in the training set. The performance of all deep learning models was on par with that of expert pathologists reported in different studies. We may expect that deep learning could be an exceptional utility for clinicians in real-time diagnosis too. © 2021 IEEE.</t>
  </si>
  <si>
    <t>CoAtNet-Lite: Advancing Mammogram Mass Detection Through Lightweight CNN - Transformer Fusion with Attention Mapping</t>
  </si>
  <si>
    <t>Breast Cancer Drug Candidate Screening Based on Ensemble Learning Algorithm</t>
  </si>
  <si>
    <t>Breast cancer classification; Data augmentation; Image preprocessing; Lightweight CNN; Mammograms; Transfer learning models</t>
  </si>
  <si>
    <t>Classification (of information); Convolution; Deep learning; Diseases; Image classification; Large datasets; Learning systems; Mammography; Transfer learning; X ray screens; Breast Cancer; Breast cancer classifications; Convolutional neural network; Data augmentation; Image preprocessing; Learning models; Lightweight CNN; Mammogram; Transfer learning model; Convolutional neural networks; acceleration; Article; artificial intelligence; benchmarking; breast cancer; cancer classification; cancer diagnosis; comparative study; controlled study; convolutional neural network; deep learning; diagnostic error; female; human; mammo light; mammography; photometry; prediction; transfer of learning; validation process</t>
  </si>
  <si>
    <t>2-s2.0-85189017106</t>
  </si>
  <si>
    <t>Ekta; Bhatia, V.</t>
  </si>
  <si>
    <t>Ekta (59939232700); Bhatia, Vandana (57191247044)</t>
  </si>
  <si>
    <t>59939232700; 57191247044</t>
  </si>
  <si>
    <t>Auto-BCS: A Hybrid System for Real-Time Breast Cancer Screening from Pathological Images</t>
  </si>
  <si>
    <t>10.1007/s10278-024-01056-3</t>
  </si>
  <si>
    <t>https://www.scopus.com/inward/record.uri?eid=2-s2.0-105007789133&amp;doi=10.1007%2Fs10278-024-01056-3&amp;partnerID=40&amp;md5=e410330f12c93ac71a07908580e96e1e</t>
  </si>
  <si>
    <t>17th International Symposium on Medical Information Processing and Analysis</t>
  </si>
  <si>
    <t>An approach for classification of breast cancer using lightweight deep convolution neural network</t>
  </si>
  <si>
    <t>Spectral Correction of Photon-Counting Detectors in Contrast-Enhanced Spectral Mammography using a Light-weight Convolutional Neural Network</t>
  </si>
  <si>
    <t>Machine learning of cellular metabolic rewiring</t>
  </si>
  <si>
    <t>A new lightweight convolutional neural network for radiation-induced liver disease classification</t>
  </si>
  <si>
    <t>PROSE: phenotype-specific network signatures from individual proteomic samples</t>
  </si>
  <si>
    <t>Optimization strategies for rapid centroid estimation</t>
  </si>
  <si>
    <t>DBLCNN: Dependency-based lightweight convolutional neural network for multi-classification of breast histopathology images</t>
  </si>
  <si>
    <t>Breast cancer is recognized as a prominent cause of cancer-related mortality among women globally, emphasizing the critical need for early diagnosis resulting improvement in survival rates. Current breast cancer diagnostic procedures depend on manual assessments of pathological images by medical professionals. However, in remote or underserved regions, the scarcity of expert healthcare resources often compromised the diagnostic accuracy. Machine learning holds great promise for early detection, yet existing breast cancer screening algorithms are frequently characterized by significant computational demands, rendering them unsuitable for deployment on low-processing-power mobile devices. In this paper, a real-time automated system “Auto-BCS” is introduced that significantly enhances the efficiency of early breast cancer screening. The system is structured into three distinct phases. In the initial phase, images undergo a pre-processing stage aimed at noise reduction. Subsequently, feature extraction is carried out using a lightweight and optimized deep learning model followed by extreme gradient boosting classifier, strategically employed to optimize the overall performance and prevent overfitting in the deep learning model. The system’s performance is gauged through essential metrics, including accuracy, precision, recall, F1 score, and inference time. Comparative evaluations against state-of-the-art algorithms affirm that Auto-BCS outperforms existing models, excelling in both efficiency and processing speed. Computational efficiency is prioritized by Auto-BCS, making it particularly adaptable to low-processing-power mobile devices. Comparative assessments confirm the superior performance of Auto-BCS, signifying its potential to advance breast cancer screening technology. © The Author(s) under exclusive licence to Society for Imaging Informatics in Medicine 2024.</t>
  </si>
  <si>
    <t>Breast cancer screening; Classification models; Deep learning; Hybrid system; On-device image recognition</t>
  </si>
  <si>
    <t>Image enhancement; Motion analysis; Photointerpretation; Breast Cancer; Breast cancer screening; Classification models; Deep learning; Learning models; On-device image recognition; Pathological images; Performance; Processing power; Real- time; Diagnosis</t>
  </si>
  <si>
    <t>The proceedings contain 94 papers. The topics discussed include: classification method of surface defects of aluminum profile based on transfer learning; an improved anchor-free object detection method; lightweight real-time object detection system based on embedded ai development kit; video content understanding based on feature selection and semantic alignment network; transferability of pretrained convolutional neural networks for breast cancer detection; analyzing the determinations of financial inclusion in Africa based on random forest model and logistic regression model; the impact of the distance sensors orientation on the obstacle avoidance ability of the robot; research on the performance of different convolutional neural network models on small datasets; construction method of network feasible path for power data platform; resource management scheduling-based on proximal policy optimization; and a study of fair prediction on credit assessment based on counterfactual fairness.</t>
  </si>
  <si>
    <t>All Open Access; Green Final Open Access; Green Open Access</t>
  </si>
  <si>
    <t>2-s2.0-105007789133</t>
  </si>
  <si>
    <t>Chavan, T.; Prajapati, K.; Jv, K.R.</t>
  </si>
  <si>
    <t>Kalita, Manjula (58997079400); Mahanta, Lipi B. (36676387700); Das, Anup Kumar (59036723600); Nath, Mananjay (58997079500)</t>
  </si>
  <si>
    <t>58997079400; 36676387700; 59036723600; 58997079500</t>
  </si>
  <si>
    <t>Indonesian Journal of Electrical Engineering and Computer Science</t>
  </si>
  <si>
    <t>https://www.scopus.com/inward/record.uri?eid=2-s2.0-85135043192&amp;doi=10.1007%2F978-3-031-09342-5_27&amp;partnerID=40&amp;md5=6ce2320bd96903fbe3a25baf05111e99</t>
  </si>
  <si>
    <t>10.11591/ijeecs.v34.i3.pp1739-1752</t>
  </si>
  <si>
    <t>Breast cancer; CNN model; Deep learning; FNAC; Transfer learning</t>
  </si>
  <si>
    <t>2-s2.0-85190974543</t>
  </si>
  <si>
    <t>Yan, Ting (55371426200); Chen, Guohui (58082332700); Zhang, Huimin (56311656500); Wang, Guolan (58494385300); Yan, Zhenpeng (57729926700); Li, Ying (57367663000); Xu, Songrui (58798252600); Zhou, Qichao (58797979100); Shi, Ruyi (45161752300); Tian, Zhi (57418275800); Wang, Bin (57188575338)</t>
  </si>
  <si>
    <t>55371426200; 58082332700; 56311656500; 58494385300; 57729926700; 57367663000; 58798252600; 58797979100; 45161752300; 57418275800; 57188575338</t>
  </si>
  <si>
    <t>Breast cancer is one of the fatal health conditions across globe and early detection of such cancerous tumor is life saver. There are various diagnostic ways to detect the tumor, however, ultrasound is more helpful for certain scenarios such as young patient, lactating or pregnant women, radiation sickness and biopsy assistance. This work attempts to detect breast tumors from the ultrasound images using Involuted UNET (InvUNET). It is based on the hybrid combination of deep learning concepts such as UNET and involution layer. UNET has been a popular choice in medical segmentation and the lightweight involution kernels embed the location-specific and channel-agnostic representation learning. The proposed method is validated using Breast Ultrasound Images (BUSI) dataset and jaccard score of 0.7146 is obtained. © 2022, The Author(s), under exclusive license to Springer Nature Switzerland AG.</t>
  </si>
  <si>
    <t>Das, R.; Kaur, K.; Walia, E.</t>
  </si>
  <si>
    <t>e30889</t>
  </si>
  <si>
    <t>10.1016/j.heliyon.2024.e30889</t>
  </si>
  <si>
    <t>https://www.scopus.com/inward/record.uri?eid=2-s2.0-85129147479&amp;doi=10.1007%2Fs12539-022-00515-1&amp;partnerID=40&amp;md5=d8374dd58ba08c73282dcd71b3e3f27c</t>
  </si>
  <si>
    <t>Breast cancer; Dilation convolution; Feature fusion; Parallel convolution scale attention; ResCBAM</t>
  </si>
  <si>
    <t>Recent period has witnessed benchmarked performance of transfer learning using deep architectures in computer-aided diagnosis (CAD) of breast cancer. In this perspective, the pre-trained neural network needs to be fine-tuned with relevant data to extract useful features from the dataset. However, in addition to the computational overhead, it suffers the curse of overfitting in case of feature extraction from smaller datasets. Handcrafted feature extraction techniques as well as feature extraction using pre-trained deep networks come into rescue in aforementioned situation and have proved to be much more efficient and lightweight compared to deep architecture-based transfer learning techniques. This research has identified the competence of classifying breast cancer images using feature engineering and representation learning over the established and contemporary notion of using transfer learning techniques. Moreover, it has revealed superior feature learning capacity with feature fusion in contrast to the conventional belief of understanding unknown feature patterns better with representation learning alone. Experiments have been conducted on two different and popular breast cancer image datasets, namely, KIMIA Path960 and BreakHis datasets. A comparison of image-level accuracy is performed on these datasets using the above-mentioned feature extraction techniques. Image level accuracy of 97.81% is achieved for KIMIA Path960 dataset using individual features extracted with handcrafted (color histogram) technique. Fusion of uniform Local Binary Pattern (uLBP) and color histogram features has resulted in 99.17% of highest accuracy for the same dataset. Experimentation with BreakHis dataset has resulted in highest classification accuracy of 88.41% with color histogram features for images with 200X magnification factor. Finally, the results are contrasted to that of state-of-the-art and superior performances are observed on many occasions with the proposed fusion-based techniques. In case of BreakHis dataset, the highest accuracies 87.60% (with least standard deviation) and 85.77% are recorded for 200X and 400X magnification factors, respectively, and the results for the aforesaid magnification factors of images have exceeded the state-of-the-art. © 2022, International Association of Scientists in the Interdisciplinary Areas.</t>
  </si>
  <si>
    <t>All Open Access; Gold Open Access; Green Final Open Access; Green Open Access</t>
  </si>
  <si>
    <t>2-s2.0-85192759561</t>
  </si>
  <si>
    <t>Singh, S.; Arshid, N.; Cinti, S.</t>
  </si>
  <si>
    <t>Din, S.; Mourad, O.; Serpedin, E.</t>
  </si>
  <si>
    <t>Din, Sadia (57188997144); Mourad, Omar (59992266000); Serpedin, Erchin (7003366947)</t>
  </si>
  <si>
    <t>57188997144; 59992266000; 7003366947</t>
  </si>
  <si>
    <t>https://www.scopus.com/inward/record.uri?eid=2-s2.0-85138460701&amp;doi=10.1016%2Fj.bios.2022.114635&amp;partnerID=40&amp;md5=029e81da191e90ca5bd7e55c7a0c97ef</t>
  </si>
  <si>
    <t>Computers in Biology and Medicine</t>
  </si>
  <si>
    <t>10.1016/j.compbiomed.2024.108303</t>
  </si>
  <si>
    <t>https://www.scopus.com/inward/record.uri?eid=2-s2.0-85189008135&amp;doi=10.1016%2Fj.compbiomed.2024.108303&amp;partnerID=40&amp;md5=e9e7bbd56b1aa8cc55d278cc8213bfec</t>
  </si>
  <si>
    <t>The rising occurrence and notable public health consequences of skin cancer, especially of the most challenging form known as melanoma, have created an urgent demand for more advanced approaches to disease management. The integration of modern computer vision methods into clinical procedures offers the potential for enhancing the detection of skin cancer. The UNet model has gained prominence as a valuable tool for this objective, continuously evolving to tackle the difficulties associated with the inherent diversity of dermatological images. These challenges stem from diverse medical origins and are further complicated by variations in lighting, patient characteristics, and hair density. In this work, we present an innovative end-to-end trainable network crafted for the segmentation of skin cancer. This network comprises an encoder–decoder architecture, a novel feature extraction block, and a densely connected multi-rate Atrous convolution block. We evaluated the performance of the proposed lightweight skin cancer segmentation network (LSCS-Net) on three widely used benchmark datasets for skin lesion segmentation: ISIC 2016, ISIC 2017, and ISIC 2018. The generalization capabilities of LSCS-Net are testified by the excellent performance on breast cancer and thyroid nodule segmentation datasets. The empirical findings confirm that LSCS-net attains state-of-the-art results, as demonstrated by a significantly elevated Jaccard index. © 2024 The Author(s)</t>
  </si>
  <si>
    <t>Multi-rate atrous convolution; Residual connections; Skin lesion segmentation</t>
  </si>
  <si>
    <t>Benchmarking; Diseases; Disease management; Health consequences; Lesion segmentations; Multi rate; Multi-rate atrous convolution; Performance; Residual connection; Skin cancers; Skin lesion; Skin lesion segmentation; Convolution; adult; aged; Article; benchmarking; breast cancer; controlled study; convolutional neural network; feature extraction; female; human; image segmentation; intermethod comparison; lightweight skin cancer segmentation network; skin cancer; skin defect; thyroid nodule; breast tumor; diagnostic imaging; hair; image processing; melanoma; skin tumor; Breast Neoplasms; Female; Hair; Humans; Image Processing, Computer-Assisted; Melanoma; Skin Neoplasms</t>
  </si>
  <si>
    <t>Detection of extracellular vesicles (EVs) exosomes is a challenge to address the need for better diagnostic tests and to create a point-of-care (POC) platform that can detect, monitor and treat health conditions early to allow personalized therapies. A multidisciplinary approach is needed to address these health-related technical issues. Over the past decade, materials scientists and engineers have worked on the same platform to develop flexible, lightweight, miniaturized, and integrated POC devices for exosome detection. Therefore, exosome detection based on various nanomaterials is of particular interest. In this paper, we describe the current state of knowledge on 0D-3D nanostructured materials and present a POC-based technique for exosome detection. Finally, the challenges that need to be solved to expand their clinical application are discussed. © 2022 Elsevier B.V.</t>
  </si>
  <si>
    <t>2-s2.0-85189008135</t>
  </si>
  <si>
    <t>Althobaiti, M.M.; Ashour, A.A.; Alhindi, N.A.; Althobaiti, A.; Mansour, R.F.; Gupta, D.; Khanna, A.</t>
  </si>
  <si>
    <t>Nissar, Iqra (57215023139); Alam, Shahzad (56008033400); Masood, Sarfaraz (57188975035); Kashif, Mohammad (55346790000)</t>
  </si>
  <si>
    <t>57215023139; 56008033400; 57188975035; 55346790000</t>
  </si>
  <si>
    <t>https://www.scopus.com/inward/record.uri?eid=2-s2.0-85130057030&amp;doi=10.1155%2F2022%2F3714422&amp;partnerID=40&amp;md5=b7f95ce78e0d5074d983f835ee26d1e5</t>
  </si>
  <si>
    <t>Computer Methods and Programs in Biomedicine</t>
  </si>
  <si>
    <t>10.1016/j.cmpb.2024.108121</t>
  </si>
  <si>
    <t>Attention mechanism; Breast cancer; Deep learning; Molecular subtypes</t>
  </si>
  <si>
    <t>Biomineralization; Bone; Calcification (biochemistry); Classification (of information); Computer aided diagnosis; Deep learning; Diseases; Efficiency; Image enhancement; Learning systems; Mammography; Tumors; X ray screens; Attention mechanisms; Breast Cancer; Cancer detection; Coarse-grained; Complex problems; Dual channel; Learning models; Malignant tumors; Molecular subtype; Forecasting; accuracy; Article; breast calcification; breast cancer molecular subtype; cancer classification; classifier; cohort analysis; deep learning; false positive result; female; human; image enhancement; image processing; mammography; noise; prediction; residual neural network; treatment outcome; calcinosis; neoplasm; Calcinosis; Deep Learning; Humans; Image Processing, Computer-Assisted; Neoplasms</t>
  </si>
  <si>
    <t>2-s2.0-85188816627</t>
  </si>
  <si>
    <t>Pandian, R.; Danasegaran, S.K.; Lalithakumari, S.; Rajalakshmi, G.; Sathish Kumar, G.S.</t>
  </si>
  <si>
    <t>Pandian, Ramanathan (56704782900); Danasegaran, Sathish Kumar (57219112828); Lalithakumari, S. (55440772000); Rajalakshmi, G. (56579326700); Sathish Kumar, G. (57217065933)</t>
  </si>
  <si>
    <t>56704782900; 57219112828; 55440772000; 56579326700; 57217065933</t>
  </si>
  <si>
    <t>Photonic crystal based hour glass patch antenna for the detection of breast cancer</t>
  </si>
  <si>
    <t>Optical and Quantum Electronics</t>
  </si>
  <si>
    <t>10.1007/s11082-024-06657-4</t>
  </si>
  <si>
    <t>https://www.scopus.com/inward/record.uri?eid=2-s2.0-85188515279&amp;doi=10.1007%2Fs11082-024-06657-4&amp;partnerID=40&amp;md5=94125599b780210029ddace59492ce78</t>
  </si>
  <si>
    <t>The rapid development of technologies in biomedical research has enriched and broadened the range of medical equipment. Magnetic resonance imaging, ultrasonic imaging, and optical imaging have been discovered by diverse research communities to design multimodal systems, which is essential for biomedical applications. One of the important tools is photoacoustic multimodal imaging (PAMI) which combines the concepts of optics and ultrasonic systems. At the same time, earlier detection of breast cancer becomes essential to reduce mortality. The recent advancements of deep learning (DL) models enable detection and classification the breast cancer using biomedical images. This article introduces a novel social engineering optimization with deep transfer learning-based breast cancer detection and classification (SEODTL-BDC) model using PAI. The intention of the SEODTL-BDC technique is to detect and categorize the presence of breast cancer using ultrasound images. Primarily, bilateral filtering (BF) is applied as an image preprocessing technique to remove noise. Besides, a lightweight LEDNet model is employed for the segmentation of biomedical images. In addition, residual network (ResNet-18) model can be utilized as a feature extractor. Finally, SEO with recurrent neural network (RNN) model, named SEO-RNN classifier, is applied to allot proper class labels to the biomedical images. The performance validation of the SEODTL-BDC technique is carried out using benchmark dataset and the experimental outcomes pointed out the supremacy of the SEODTL-BDC approach over the existing methods. © 2022 Maha M. Althobaiti et al.</t>
  </si>
  <si>
    <t>Breast cancer is the most prevalent cancer in females in a large number of countries around the world. One in every twenty females gets confirmed to have breast cancer during their lifetime, though the number varies significantly by country. There are various conventional methods to spot the breast cancer cells, such as magnetic resonance imaging, X-ray mammography, biopsies, and ultrasound. The early identification of cancer cells helps to save many human lives. This paper investigates tumor detection in a breast phantom using a Photonic crystal (PhC) based hourglass terahertz patch antenna. This paper designed four different antenna structures: conventional hourglass patch antenna (with and without breast phantom) and PhC-based hourglass patch antenna (with and without breast phantom). The proposed PhC antenna models and the breast phantom are designed using the CST studio suite and analyzed the various antenna parameters. The observed S11 parameter for the proposed structures is − 21.50, − 25.34, − 33.78 and − 50.32 dB. The proposed antenna resonated in THz frequency, which does not affect human health and is safer due to non-ionizing characteristics. The suggested PhC structure is tiny, less expensive, lightweight, environmentally benign, and can be utilized as a primary screening technique for people with breast cancer, especially in resource-limited areas. © The Author(s), under exclusive licence to Springer Science+Business Media, LLC, part of Springer Nature 2024.</t>
  </si>
  <si>
    <t>Breast phantom; Hourglass patch antenna; Photonic crystal; Return loss; Terahertz frequency; Tumour</t>
  </si>
  <si>
    <t>Cancer cells; Cells; Diagnosis; Diseases; Magnetic resonance imaging; Medical imaging; Microstrip antennas; Phantoms; Photonic crystals; Slot antennas; Ultrasonic applications; Breast Cancer; Breast cancer cells; Breast phantom; Conventional methods; Hourglass patch antenna; Human lives; Returns loss; Terahertz frequencies; X-ray mammography; Tumors</t>
  </si>
  <si>
    <t>2-s2.0-85188515279</t>
  </si>
  <si>
    <t>Gong, Z.; Chen, Y.; Ding, Y.; Zhang, H.</t>
  </si>
  <si>
    <t>Gong, Zheng (57194324632); Chen, Yifan (58430183500); Ding, Yahui (57219800940); Zhang, Hui (57192489805)</t>
  </si>
  <si>
    <t>57194324632; 58430183500; 57219800940; 57192489805</t>
  </si>
  <si>
    <t>Perspective: Microwave Medical Imaging Using Space-Time-Frequency A Priori Knowledge for Health Monitoring</t>
  </si>
  <si>
    <t>IEEE Journal of Electromagnetics, RF and Microwaves in Medicine and Biology</t>
  </si>
  <si>
    <t>10.1109/JERM.2023.3337660</t>
  </si>
  <si>
    <t>https://www.scopus.com/inward/record.uri?eid=2-s2.0-85180281854&amp;doi=10.1109%2FJERM.2023.3337660&amp;partnerID=40&amp;md5=2aa183a8fcfc96be6315b0821b83857c</t>
  </si>
  <si>
    <t>Microwave medical imaging (MMI) operating over the frequency range covering hundreds of megahertz to tens of gigahertz has the potential to provide proactive healthcare solutions to patients with acute (for early diagnosis) or chronic (for daily monitoring) medical conditions. This technology exploits the tissue dielectric properties for disease diagnosis by using quantitative or qualitative algorithms. The advantages of MMI include low health risk, low operational cost, lightweight implementation, and ease of use, given its perspective of miniaturization and integration into portable and handheld devices with networking capability. MMI has been proposed for cancer detection, stroke detection, heart imaging, bone imaging, tracking of in-body drug-loaded nanorobots, etc. It is, however, challenging to develop accurate and robust MMI algorithms for both sensitive and selective diagnosis, due to the inherently ill-conditioned inverse scattering problems and the low dielectric contrast between healthy and diseased tissues. As such, using the a priori knowledge (APK) about the scattering profile to improve the performance of MMI is crucial for practical implementation and clinical deployment of MMI systems. This perspective article presents a new viewpoint of categorizing and utilizing various types of APK, which is acquired from the space, time, or frequency (STF) domain. The article starts with a general categorization framework of APK, followed by formulations of MMI algorithms utilizing APK. Subsequently, the existing APK-oriented MMI algorithms are reviewed in the respective STF domain. Finally, the influence of accuracy of APK on MMI performance is discussed using numerical examples. Through the analysis of the distorted Born iterative method (DBIM) and the pulse radar method, we have discussed the accurate usage of time-domain APK for both quantitative and qualitative evaluations, and the performance improvements of the quantitative and qualitative algorithms are 92% and 80%, respectively. The results demonstrate that the proper implementation of APK can significantly improve imaging accuracy, further validating the effectiveness and generalizability of the proposed model. This perspective would offer some useful insights into the future directions of MMI algorithmic development. © 2016 IEEE.</t>
  </si>
  <si>
    <t>a priori knowledge; frequency domain; Microwave medical imaging; space domain; time domain</t>
  </si>
  <si>
    <t>Diagnosis; Dielectric materials; Dielectric properties; Diseases; Frequency domain analysis; Health risks; Image reconstruction; Inverse problems; Iterative methods; Time domain analysis; Tissue; A priori knowledge; Breast; Dielectric measurements; Frequency domains; Images reconstruction; Microwave imaging; Microwave medical imaging; Priori knowledge; Space domain; Time domain; Medical imaging</t>
  </si>
  <si>
    <t>2-s2.0-85180281854</t>
  </si>
  <si>
    <t>The proceedings contain 54 papers. The special focus in this conference is on Artificial Intelligence and Speech Technology. The topics include: Feature Extraction and Sentiment Analysis Using Machine Learning; a Neural Network Based Approach for Text-Level Sentiment Analysis Using Sentiment Lexicons; cross Linguistic Acoustic Phonetic Study of Punjabi and Indian English; prashn: University Voice Assistant; spectrogram Analysis and Text Conversion of Sound Signal for Query Generation to Give Input to Audio Input Device; a Contrastive View of Vowel Phoneme Assessment of Hindi, Indian English and American English Speakers; Text-Based Analysis of COVID-19 Comments Using Natural Language Processing; indian Languages Requirements for String Search/comparison on Web; dictionary Vectorized Hashing of Emotional Recognition of Text in Mutual Conversation; Speaker Independent Accent Based Speech Recognition for Malayalam Isolated Words: An LSTM-RNN Approach; Comparative Analysis of NLP Text Embedding Techniques with Neural Network Layered Architecture on Online Movie Reviews; current State of Speech Emotion Dataset-National and International Level; context-Aware Emoji Prediction Using Deep Learning; development of ManiTo: A Manipuri Tonal Contrast Dataset; deep Neural Networks for Spoken Language Identification in Short Utterances; a Lightweight Deep Learning Approach for Diabetic Retinopathy Classification; machine Hearing a Cognitive Service for Aiding Clinical Diagnosis; critical Insights on Cancer Detection Using Deep Learning; OHF: An Ontology Based Framework for Healthcare; enhancing the Deep Learning-Based Breast Tumor Classification Using Multiple Imaging Modalities: A Conceptual Model; a Review on Speech Synthesis Based on Machine Learning; EEG Based Stress Classification in Response to Stress Stimulus; hindi Phoneme Recognition - A Review.</t>
  </si>
  <si>
    <t>Kotei, Evans (57577988400); Thirunavukarasu, Ramkumar (56602594200)</t>
  </si>
  <si>
    <t>57577988400; 56602594200</t>
  </si>
  <si>
    <t>10.1007/s11042-023-16625-x</t>
  </si>
  <si>
    <t>Attention mechanism; Breast cancer; Deep learning; Medical image analysis; Tuberculosis; Visual attention condensers</t>
  </si>
  <si>
    <t>Behavioral research; Complex networks; Computer aided diagnosis; Deep neural networks; Medical imaging; Network architecture; Ultrasonic applications; X ray radiography; Attention mechanisms; Breast Cancer; Deep learning; Disease detection; Image modality; Medical image analysis; Screening process; Tuberculosis; Visual Attention; Visual attention condenser; Diseases</t>
  </si>
  <si>
    <t>2-s2.0-85169909058</t>
  </si>
  <si>
    <t>Ashraf, Faisal Bin (57194202985); Alam, S. M.Maksudul (58825340400); Sakib, Shahriar M. (58536709600)</t>
  </si>
  <si>
    <t>57194202985; 58825340400; 58536709600</t>
  </si>
  <si>
    <t>e24094</t>
  </si>
  <si>
    <t>10.1016/j.heliyon.2024.e24094</t>
  </si>
  <si>
    <t>The proceedings contain 29 papers. The topics discussed include: a distributed software agent-oriented traceability milieu for blockchain-enabled supply chain; distributed hash table with extensible remote procedure calls; an approach for word segmentation from a line segment in Odia text using quartiles; improving learner's comprehension using entailment-based question generation; breast cancer prediction using long short-term memory algorithm; multiple feature selection frameworks based on evolutionary computing and ensemble learning for software defect prediction; futuristic opportunities and challenges for cognitive tutoring systems; smart prediction of severity in vehicular crashes: a machine learning approach; continuous cloud user authentication by efficient facial recognition; diagnosing skin lesion using multi-modal analysis; Hindi document extractive summarization: neural method on a new data set; outlier and trend detection using approximate median and median absolute deviation; and a lightweight DoS and DDoS attack detection mechanism-based on deep learning.</t>
  </si>
  <si>
    <t>Breast cancer classification; Contrastive learning; Histopathology image; Medical image processing; Transfer learning</t>
  </si>
  <si>
    <t>2-s2.0-85182354943</t>
  </si>
  <si>
    <t>Tanim, S.A.; Alam, G.M.I.; Shrestha, T.E.; Islam, M.; Jahan, F.; Nur, K.</t>
  </si>
  <si>
    <t>Tanim, Sharia Arfin (58535540200); Alam, Gazi Mohammad Imdadul (59549657700); Shrestha, Tahmid Enam (59157533100); Islam, Maruful (59157578200); Jahan, Fariha (57216081834); Nur, Kamruddin Md (59819957400)</t>
  </si>
  <si>
    <t>58535540200; 59549657700; 59157533100; 59157578200; 57216081834; 59819957400</t>
  </si>
  <si>
    <t>Breast Cancer Diagnosis with XAI-Integrated Deep Learning Approach</t>
  </si>
  <si>
    <t>10.1109/3ICT64318.2024.10824574</t>
  </si>
  <si>
    <t>https://www.scopus.com/inward/record.uri?eid=2-s2.0-85217440966&amp;doi=10.1109%2F3ICT64318.2024.10824574&amp;partnerID=40&amp;md5=8de2b5ca7cdcccf5e04ea0738c381256</t>
  </si>
  <si>
    <t>Breast cancer is one of the world’s significant health challenges. There is a need to have better techniques in the early diagnosis of this disease to increase patients’ survival rates. This paper introduces a robust approach for breast cancer detection by integrating deep-learning and classical machine-learning techniques into a custom lightweight neural network model. This approach is based on integrating conventional machine-learning and deep-learning paradigms using a range of data pre-processing steps, including data cleaning, label converting, scaling, and feature selecting to improve the given dataset’s readiness for training. The proposed model demonstrated impressive accuracy in breast cancer detection compared to individual classifiers by achieving an overall accuracy of 97.54%. Additionally, integrating eXplainable Artificial Intelligence (XAI) techniques gives the application interpretability and transparency for clinicians to make sense of the feature’s importance and individual prognosis. It is a more accurate and easy-to-understand tool for clinicians, making it a better use of faulty or confusing reference values. This study presents the need to learn more about making deep learning and eXplainable Artificial Intelligence (XAI) complementary approaches to breast cancer diagnosis and treatment research. ©2024 IEEE.</t>
  </si>
  <si>
    <t>breast cancer; deep learning; eXplainable artificial intelligence; healthcare; model interpretability</t>
  </si>
  <si>
    <t>Adversarial machine learning; Lung cancer; Breast Cancer; Breast cancer detection; Breast cancer diagnosis; Deep learning; Early diagnosis; Explainable artificial intelligence; Healthcare; Interpretability; Learning approach; Model interpretability; Contrastive Learning</t>
  </si>
  <si>
    <t>2-s2.0-85217440966</t>
  </si>
  <si>
    <t>Majumder, S.; Mallick, K.; Pal, W.; Chakraborty, S.; Sarkar, R.</t>
  </si>
  <si>
    <t>Majumder, Surya (58651825300); Mallick, Kushaj (59549510100); Pal, Wrick (59550322200); Chakraborty, Somenath (57221497422); Sarkar, Ram Krishna (13607482600)</t>
  </si>
  <si>
    <t>58651825300; 59549510100; 59550322200; 57221497422; 13607482600</t>
  </si>
  <si>
    <t>EMDA-Net: Earth Mover’s Distance (EMD) influenced Attention-aided Neural Network for Medical Image Classification</t>
  </si>
  <si>
    <t>10.1109/CogMI62246.2024.00040</t>
  </si>
  <si>
    <t>The proceedings contain 33 papers. The special focus in this conference is on Pattern Recognition. The topics include: Factorized U-net for Retinal Vessel Segmentation; Multi-view Learning for EEG Signal Classification of Imagined Speech; leveraging Multiple Characterizations of Social Media Users for Depression Detection Using Data Fusion; a Wide &amp; Deep Learning Approach for Covid-19 Tweet Classification; Does This Tweet Report an Adverse Drug Reaction? An Enhanced BERT-Based Method to Identify Drugs Side Effects in Twitter; we Will Know Them by Their Style: Fake News Detection Based on Masked N-Grams; multi-document Text Summarization Based on Genetic Algorithm and the Relevance of Sentence Features; OSLeD-wA: A One-Stage Lesion Detection Method with Attention Mechanisms; Detection of Pain Caused by a Thermal Stimulus Using EEG and Machine Learning; Lane Changing Model from NGSIM Dataset; efficient Methodology Based on Convolutional Neural Networks with Augmented Penalization on Hard-to-Classify Boundary Voxels on the Task of Brain Lesion Segmentation; Delimitation of Benign and Malignant Masses in Breast Ultrasound by Clustering of Intuitionistic Fuzzy Superpixels Using DBSCAN Algorithm; machine Learning and Symbolic Learning for the Recognition of Leukemia L1, L2 and L3; A Preliminary Study of SMOTE on Imbalanced Big Datasets When Dealing with Sparse and Dense High Dimensionality; A CNN-Based Driver’s Drowsiness and Distraction Detection System; 3D Convolutional Neural Network to Enhance Small-Animal Positron Emission Tomography Images in the Sinogram Domain; preface; clustering of Twitter Networks Based on Users’ Structural Profile; deep Variational Method with Attention for High-Definition Face Generation; extreme Machine Learning Architectures Based on Correlation; on Labelling Pointclouds with the Nearest Facet of Triangulated Building Models; cable-Driven Parallel Robot Controlled by Servo-Vision System; a Lightweight Convolutional Neural Network for Breast Cancer Diagnosis with Histology Images; a Robust Fault Diagnosis Method in Presence of Noise and Missing Information for Industrial Plants; a Novel Survival Analysis-Based Approach for Predicting Behavioral Probability of Default.</t>
  </si>
  <si>
    <t>https://www.scopus.com/inward/record.uri?eid=2-s2.0-85217407092&amp;doi=10.1109%2FCogMI62246.2024.00040&amp;partnerID=40&amp;md5=fce7c1565014bc8830fb73c89da45299</t>
  </si>
  <si>
    <t>Shinde, R.K.; Alam, M.S.; Hossain, M.B.; Imtiaz, S.; Kim, J.; Padwal, A.A.; Kim, N.</t>
  </si>
  <si>
    <t>https://www.scopus.com/inward/record.uri?eid=2-s2.0-85145999195&amp;doi=10.3390%2Fcancers15010012&amp;partnerID=40&amp;md5=e71f32193da4c869f31db79c97fb065d</t>
  </si>
  <si>
    <t>Medical image analysis methods need to be more generalized in order to meet the substantial problems associated with cancer detection and treatment, including skin, cervical, and breast cancer. In this work, we propose a novel lightweight convolutional neural network (CNN) architecture, named EMDA-Net (Earth Mover’s Distance (EMD) influenced Attention-aided Neural Network), specifically designed to meet the requirements of cancer subtype classification. It is built on the MobileNetV2 backbone and is equipped with hybrid statistical mechanism-aided attention mechanisms. Our model ensures high-performance while maintaining a lightweight design by leveraging the capabilities of the MobileNetV2 architecture and the attention mechanism. To improve similarity detection across data channels, we present a novel EMD influenced attention technique. We have examined datasets related to skin, cervical, and breast cancer for experimentation. Our model especially outperforms the state-of-the-art techniques, demonstrating its effectiveness in maximizing diagnosis precision for various cancer types across the datasets. The code of the proposed model will be made public at: https://t.ly/q5DlN. © 2024 IEEE.</t>
  </si>
  <si>
    <t>Breast Cancer; Cervical Cancer; Deep Learning; Earth Mover’s Distance; Histopathological Image; Similarity Attention; Skin Cancer</t>
  </si>
  <si>
    <t>Convolutional neural networks; Deep neural networks; Diagnosis; Lung cancer; Oncology; Attention mechanisms; Breast Cancer; Cervical cancers; Deep learning; Earth mover’s distance; Histopathological images; Medical image classification; Neural-networks; Similarity attention; Skin cancers; Diseases</t>
  </si>
  <si>
    <t>2-s2.0-85217407092</t>
  </si>
  <si>
    <t>2024 International Conference on Intelligent Systems and Advanced Applications, ICISAA 2024</t>
  </si>
  <si>
    <t>https://www.scopus.com/inward/record.uri?eid=2-s2.0-85217269728&amp;partnerID=40&amp;md5=5c201409a8a86a3e8db33485f392fafb</t>
  </si>
  <si>
    <t>The proceedings contain 180 papers. The topics discussed include: monitoring the battery health in electric vehicles through IOT; a CNN-based approach for early detection of breast cancer using infrared imaging; the development and impact of an intelligent scheduling system for educational institutions; vitamin deficiency detection using image processing through dermatological symptoms; enhancing large language models with google knowledge integration for rapid response in healthcare challenges; a novel lightweight encryption scheme based on transformation matrix and ChaCha20 algorithm for secure snap transmission; AI-driven energy management system for industrial and commercial facilities to enhance energy optimization; and mitigating denial of service attacks through machine learning-based intrusion detection.</t>
  </si>
  <si>
    <t>2-s2.0-85217269728</t>
  </si>
  <si>
    <t>Agrawal, K.; Borthakur, A.; Singh, A.K.; Srikaran, P.; Nandi, D.; Pujari, O.</t>
  </si>
  <si>
    <t>Agrawal, Kartikay (59532257800); Borthakur, Ayon (57195325543); Singh, Ayush Kumar (59129153900); Srikaran, Perambuduri (59531413400); Nandi, Digjoy (59532087100); Pujari, Omkaradithya (59531245900)</t>
  </si>
  <si>
    <t>59532257800; 57195325543; 59129153900; 59531413400; 59532087100; 59531245900</t>
  </si>
  <si>
    <t>Neural Decision Tree for Bio-TinyML</t>
  </si>
  <si>
    <t>10.1109/BioCAS61083.2024.10798396</t>
  </si>
  <si>
    <t>https://www.scopus.com/inward/record.uri?eid=2-s2.0-85216213302&amp;doi=10.1109%2FBioCAS61083.2024.10798396&amp;partnerID=40&amp;md5=6d39fdc7c5885d43c96b17842393756f</t>
  </si>
  <si>
    <t>Cancer remains a deadly disease. We developed a lightweight, accurate, general-purpose deep learning algorithm for skin cancer classification. Squeeze-MNet combines a Squeeze algorithm for digital hair removal during preprocessing and a MobileNet deep learning model with predefined weights. The Squeeze algorithm extracts important image features from the image, and the black-hat filter operation removes noise. The MobileNet model (with a dense neural network) was developed using the International Skin Imaging Collaboration (ISIC) dataset to fine-tune the model. The proposed model is lightweight; the prototype was tested on a Raspberry Pi 4 Internet of Things device with a Neo pixel 8-bit LED ring; a medical doctor validated the device. The average precision (AP) for benign and malignant diagnoses was 99.76% and 98.02%, respectively. Using our approach, the required dataset size decreased by 66%. The hair removal algorithm increased the accuracy of skin cancer detection to 99.36% with the ISIC dataset. The area under the receiver operating curve was 98.9%. © 2022 by the authors.</t>
  </si>
  <si>
    <t>Chengxiao, C.; Zeng, X.; Xi, R.; Ahmed, A.; Hou, M.; Tunio, M.H.</t>
  </si>
  <si>
    <t>https://www.scopus.com/inward/record.uri?eid=2-s2.0-85180677552&amp;doi=10.3390%2Felectronics12244923&amp;partnerID=40&amp;md5=10fad17f7a199a625cfd8ed269f9abc0</t>
  </si>
  <si>
    <t>Deep neural networks(NN) are widely popular candidates for introducing machine learning in resource-constrained devices(tinyML). However, NNs in tinyML applications come with constraints such as high memory footprint and power consumption. Another popular candidate is decision trees (DT), which are lightweight, but in DT - choosing the tree depth, the best feature, and the threshold for subsetting data is not end-to-end as in parameter tuning of NNs. Hence, we here design a Neural Decision Tree (NDT), which can be trained using backpropagation in an end-to-end fashion and is simultaneously lightweight. We evaluate NDT for potential healthcare applications in Epileptic Seizure, Cervical Cancer, Breast Cancer, Parkinson's, and Heart Disease Detection. Careful studies reveal that NDT performs at par with NNs but is computationally simpler with fewer neurons and with a hugely reduced number of multiply-accumulate operations(MACs). In addition, we propose methods for interpreting NDT behavior. Moreover, we perform systematic ablation studies on NDT to justify the design choices. © 2024 IEEE.</t>
  </si>
  <si>
    <t>Decision Tree; Deep Learning; Healthcare; Low power; tinyML</t>
  </si>
  <si>
    <t>Adversarial machine learning; Contrastive Learning; Deep learning; End to end; Healthcare; Low Power; Machine-learning; Memory footprint; Neural-networks; Power; Resourceconstrained devices; Tinyml; Deep neural networks</t>
  </si>
  <si>
    <t>2-s2.0-85216213302</t>
  </si>
  <si>
    <t>6th conference on Computing Systems and Applications, CSA 2024</t>
  </si>
  <si>
    <t>1145 LNNS</t>
  </si>
  <si>
    <t>https://www.scopus.com/inward/record.uri?eid=2-s2.0-85211798400&amp;partnerID=40&amp;md5=631aee0523b6cb2b440291c02fcce15b</t>
  </si>
  <si>
    <t>The proceedings contain 37 papers. The special focus in this conference is on Computing Systems and Applications. The topics include: Investigating Person Attribute Recognition in Challenging Environments; Layer-Wise Compression Analysis of CNN Architectures: Insights from VGG16; Enhanced ECG Signals Classification with Image-Driven Ensemble Deep Transfer Learning; learning N:M Structured Sparse Neural Networks from Scratch: A Comparative Study; breast Density Prediction from Mammograms: A Comprehensive Review; effective Writer Identification from Text Fragments Using Lightweight Convolutional Autoencoder; efficient End-to-End Deep Learning Model for Algerian Drug Label Recognition; exploring the Extremes of Two-Layer Convolutional Autoencoders Architecture in Image Inpainting; Enhancing Diabetic Retinopathy Identification Through Novel Image Representation and Hybrid CNN-Transformer Segmentation; enhancing Breast Mass Cancer Detection Through Hybrid ViT-Based Image Segmentation Model; New Adaptive PolSAR Speckle Filtering Based on Sigma Edge Detection; deep Learning for Effective Tuberculosis Detection from Chest Radiographs: A Comparative Study; On the Joint Use of CNN and OC-PCA Classifier for Cross-Domain Potato Disease Identification; memory-Aware Scheduling for Time-Sensitive Many-Core Systems; efficient Congestion and Popularity-Aware Caching Solution for Named Data Networking; multicast Routing over Industrial Internet of Things; When Curriculum Learning Meets Multi-Agent DRL in Connected Autonomous Vehicles; fault Tolerant Aware Scheduling on IoT Systems: A Comparative Study; multi-agent Deep Reinforcement Learning for Self-organized Aggregation of a Swarm of Robots; enhanced Navigation Based Obstacle Avoidance and Target Tracking with Raspberry-Pi for Mobile Robots; ioT Based Road Surface Condition Monitoring Using Spatiotemporal Feature Learning; longitudinal Evaluation of Android Malware Detection Using Deep Learning Classifiers; addressing Poisoning Attacks Against Federated Intrusion Detection Systems in Internet of Healthcare Things; a Dynamic Heuristic Search for Textual Adversarial Attacks; DDPG-PER for an IRS-Aided Secure Wireless Communication; model Checking-Enhanced Spectrum-Based Fault Localization; SGSN: Tool Support for GSN Development; SysML Model-Driven Development for Digital Twins.</t>
  </si>
  <si>
    <t>2-s2.0-85211798400</t>
  </si>
  <si>
    <t>Vinod, A.; Guddati, P.; Panda, A.; Tripathy, R.</t>
  </si>
  <si>
    <t>Vinod, Aditya (59592930700); Guddati, Prabhav (58924735600); Panda, Amit Kumar (55220789100); Tripathy, R. K. (56035676800)</t>
  </si>
  <si>
    <t>59592930700; 58924735600; 55220789100; 56035676800</t>
  </si>
  <si>
    <t>A Lightweight Deep Convolutional Neural Network Implemented on FPGA and Android Devices for Detection of Breast Cancer Using Ultrasound Images</t>
  </si>
  <si>
    <t>10.1109/ACCESS.2024.3506334</t>
  </si>
  <si>
    <t>The Internet of Medical Things (IoMT) can automate breast tumor detection and classification with the potential of artificial intelligence. However, the leakage of sensitive data can cause harm to patients. To address this issue, this study proposed an intrauterine breast cancer diagnosis method, namely “Privacy-Embedded Lightweight and Efficient Automated (PLA)”, for IoMT, which represents an approach that combines privacy-preserving techniques, efficiency, and automation to achieve our goals. Firstly, our model is designed to achieve lightweight classification prediction and global information processing of breast cancer by utilizing an advanced IoMT-friendly ViT backbone. Secondly, PLA protects patients’ privacy by federated learning, taking the classification task of breast cancer as the main task and introducing the texture analysis task of breast cancer images as the auxiliary task to train the model. For our PLA framework, the classification accuracy is 0.953, the recall rate is 0.998 for the best, the F1 value is 0.969, the precision value is 0.988, and the classification time is 61.9 ms. The experimental results show that the PLA model performs better than all of the comparison methods in terms of accuracy, with an improvement of more than 0.5%. Furthermore, our proposed model demonstrates significant advantages over the comparison methods regarding time and memory. © 2023 by the authors.</t>
  </si>
  <si>
    <t>https://www.scopus.com/inward/record.uri?eid=2-s2.0-85210989418&amp;doi=10.1109%2FACCESS.2024.3506334&amp;partnerID=40&amp;md5=f07481c6be34536b577aac8c7ec8bb39</t>
  </si>
  <si>
    <t>Abdelmawgood, Z.; Abdalawy, S.; Mohamed, H.; R Eldamak, A.; Fahmy, O.; Elshaekh, D.</t>
  </si>
  <si>
    <t>https://www.scopus.com/inward/record.uri?eid=2-s2.0-85189925974&amp;doi=10.1109%2FMoSICom59118.2023.10458762&amp;partnerID=40&amp;md5=5b24cc23540d95cd95843549f780446f</t>
  </si>
  <si>
    <t>Breast cancer (BC) continues to be the primary cause of high mortality rates among women globally. Early and automated detection of this disease plays a significant role in clinical standards for better diagnosis and improved survival rates. Ultrasonography is a widely used non-invasive imaging test to diagnose BC. The traditional ultrasound-based automated diagnostic systems for detecting BC rely on cloud-based processing, which has high latency, requires constant internet connectivity, and raises the privacy of patient's ultrasound image data. This paper proposes a lightweight deep convolutional neural network (LWDCNN) implemented on edge devices (field programmable gate array (FPGA) and android devices) for real-time detection of BC using breast ultrasound (BUS) images. FPGA is used due to its parallel processing capability, low latency, and low power for the real-time processing of BUS images. Similarly, the Android device provides portability and a user-friendly system to process BUS images for automated detection of BC. The proposed LWDCNN is trained on the Google Cloud CPU-based framework to obtain the optimized model with weight and bias parameters. The compression methods (pruning and fixed-point precision-based representation of weight values) are applied to the LWDCNN model, and the inference of this model is performed on Android and PYNQ-Z2 FPGA-based edge devices to detect malignant tumor classes using BUS images. The proposed approach is evaluated using BUS images from Kaggle and breast ultrasound imaging databases. The experimental results reveal that the LWDCNN achieved average accuracy values of 94.15% on Google Cloud CPU and 93.16% on FPGA-based edge devices for detecting malignant tumors in the inference phase using hold-out validation. Similarly, the post-training quantization of LWDCNN with an integer 8-bit (INT8) case implemented on an Android device has yielded an accuracy value of 93.76% for detecting malignant tumors using BUS images. The presented deep-learning approach has demonstrated higher classification accuracy than different transfer-learning techniques and existing methods using the BUS images from the same database. © 2013 IEEE.</t>
  </si>
  <si>
    <t>android; breast cancer; deep learning; edge computing; FPGA; Ultrasound images</t>
  </si>
  <si>
    <t>Deep neural networks; Noninvasive medical procedures; Ultrasonography; Android; Breast Cancer; Breast ultrasound images; Convolutional neural network; Deep learning; Edge computing; Field programmable gate array; Field programmables; Programmable gate array; Ultrasound images; Convolutional neural networks</t>
  </si>
  <si>
    <t>2-s2.0-85210989418</t>
  </si>
  <si>
    <t>Zhang, Y.; Li, P.; Lan, Y.; Jia, X.; Lv, Y.</t>
  </si>
  <si>
    <t>Zhang, Yanhong (59421810200); Li, Pei (57206197472); Lan, Yihua (36175963700); Jia, Xiao (57951375700); Lv, Yingjie (59422228700)</t>
  </si>
  <si>
    <t>59421810200; 57206197472; 36175963700; 57951375700; 59422228700</t>
  </si>
  <si>
    <t>Research on Breast Cancer Detection Methods Based on ODMV-MulDyHead-YOLO</t>
  </si>
  <si>
    <t>10.1109/ACCESS.2024.3508780</t>
  </si>
  <si>
    <t>https://www.scopus.com/inward/record.uri?eid=2-s2.0-85210976449&amp;doi=10.1109%2FACCESS.2024.3508780&amp;partnerID=40&amp;md5=89e2a949087bf423612dd6995ba31f92</t>
  </si>
  <si>
    <t>Breast cancer has the highest incidence rate among women worldwide. Early screening and timely treatment can effectively control breast cancer progression and significantly reduce mortality. In this paper, we proposed a method of breast cancer detection based on full-dimensional dynamic convolution and multiple attention mechanism to solve the problems of missing detection and low detection accuracy caused by breast tumor occlusion by breast muscle, poor contrast between tumor and surrounding glandular tissue and indistinct features of small tumor. First, a target detection head based on an attention mechanism is proposed to improve lump detection sensitivity in complex backgrounds. Second, a lightweight backbone network, MobileNetV2-ODConv, is used to improve the ability of the network to extract features of lumps in breast X-ray images while reducing the number of parameters and floating-point operations. Finally, a loss function based on the minimum point distance is used to improve target localization accuracy and convergence speed. The experimental results show that the improved model achieves higher accuracy, sensitivity, and detection speed than previous models, and reduces false positive and false negative rates. In addition, two-core convolution is used instead of the normal 2D convolution in the C3 module. The experimental results show that: the number of parameters of the improved model is reduced by about 47%, and the recall rate and average detection accuracy of the improved model in DDSM dataset, MIAS dataset and INBreast dataset are increased by 8.2% and 6.7%, 3.7% and 2.2%, 1.3% and 2.4% respectively. © 2013 IEEE.</t>
  </si>
  <si>
    <t>Attention Mechanism; Breast Lump Detection; Deep Learning; Dynamic Head; MobileNetV2; X-ray Image</t>
  </si>
  <si>
    <t>Image segmentation; Medical image processing; Oncology; 3d multiscale feature extraction; Attention mechanisms; Biomedical images; Breast cancer detection; Deep learning; Edge enhancements; Features extraction; Images processing; Lung nodule segmentation; Multi-scale features; Lung cancer</t>
  </si>
  <si>
    <t>2-s2.0-85210976449</t>
  </si>
  <si>
    <t>This paper proposes modelling and simulations for textile antenna-based sensors acting as tumor detection system for breast using artificial intelligence. The proposed textile sensors are lightweight, comfortable to wear with low fabrication cost at microwave frequencies. The sensors are modelled with a 3-layer breast phantom with skin, gland, and fatty tissue, along with a tumor with high water content. Simulations are conducted using three dimensions electromagnetic wave CST Studio simulator with 4 elements of antenna-based sensors. The utilized sensor operates on breast phantom in the band from 3.5 to 5 GHz with an average gain of 6 dBi. Tumors are simulated with diameters from 5 mm to 15 mm at the centre of breast and 45o offset of the centre. For tumor detection, different machine learning techniques are applied to classify between malignant and benign cells using Scattering parameters. These techniques provide accurate estimation for tumor detection at different tumor sizes. 98% classification accuracy is realized for centre and shifted tumor using developed machine learning techniques. © 2023 IEEE.</t>
  </si>
  <si>
    <t>Vickram, A.S.; Bhavani Sowndharya, B.B.</t>
  </si>
  <si>
    <t>Vickram, A. S. (55257689800); Bhavani Sowndharya, B. (58897560900)</t>
  </si>
  <si>
    <t>55257689800; 58897560900</t>
  </si>
  <si>
    <t>Breast Histology Slides Classification using Fused Lightweight Deep Features</t>
  </si>
  <si>
    <t>Nneji, G.U.; Monday, H.N.; Mgbejime, G.T.; Pathapati, V.S.R.; Nahar, S.; Ukwuoma, C.C.</t>
  </si>
  <si>
    <t>10.1109/ICOSEC61587.2024.10722394</t>
  </si>
  <si>
    <t>https://www.scopus.com/inward/record.uri?eid=2-s2.0-85209943697&amp;doi=10.1109%2FICOSEC61587.2024.10722394&amp;partnerID=40&amp;md5=26443f2258316dd51126958af9781df0</t>
  </si>
  <si>
    <t>https://www.scopus.com/inward/record.uri?eid=2-s2.0-85146743965&amp;doi=10.3390%2Fdiagnostics13020299&amp;partnerID=40&amp;md5=7c3a1c014812efda09822639fbab7e86</t>
  </si>
  <si>
    <t>One of the most serious illnesses that affect women is breast cancer (BC), hence early detection and treatment are crucial. The course of treatment for BC is determined by its stage; hence, histology slide-supported BC confirmation is frequently used in medical facilities. The purpose of this study is to provide a method for classifying selected histology slides into the Benign/Malignant class using a binary classifier used with Lightweight Deep Learning Method (LDLM). The suggested approach has several stages: gathering and resizing images; extracting features using a selected LDLM; reducing features with 50% dropout and fusing features to create a new feature vector; and binary classification with 3 -fold cross validation and performance confirmation. Individual deep features (ID) and fused deep features (FD) are used in the suggested experimental work, which was conducted using the pre-trained LDLM for the investigation. The created scheme's effectiveness is confirmed by binary classification with the SoftMax classifier, and the obtained outcomes are contrasted and validated. The study's experimental results validate that the suggested methodology yields &gt;89% detection accuracy with the ID and &gt;98% accuracy with the FD. © 2024 IEEE.</t>
  </si>
  <si>
    <t>Breast cancer; Classification; Global health; Histology slide; MobileNet</t>
  </si>
  <si>
    <t>Lung cancer; Oncology; Binary classification; Binary classifiers; Breast Cancer; Extracting features; Features vector; Global health; Histology slides; Learning methods; Medical facility; Mobilenet; Diseases</t>
  </si>
  <si>
    <t>2-s2.0-85209943697</t>
  </si>
  <si>
    <t>Hasan Mahfuz, M.M.H.; Mahfouz, A.M.; Baladi, E.; Kishk, A.A.</t>
  </si>
  <si>
    <t>Hasan Mahfuz, Mohammad Muntuseer (57219986517); Mahfouz, Abdullah Muhammad (56816604700); Baladi, Elham (57056315500); Kishk, Ahmed A. (7004922524)</t>
  </si>
  <si>
    <t>57219986517; 56816604700; 57056315500; 7004922524</t>
  </si>
  <si>
    <t>Microstrip Patch Antennas for Breast Tumor/Cancer Cell Detection-Challenges, Designs, and Future Opportunities: A Review</t>
  </si>
  <si>
    <t>10.1109/ACCESS.2024.3496117</t>
  </si>
  <si>
    <t>https://www.scopus.com/inward/record.uri?eid=2-s2.0-85209652985&amp;doi=10.1109%2FACCESS.2024.3496117&amp;partnerID=40&amp;md5=a43c653493f65263f3c6a05d6fd82e76</t>
  </si>
  <si>
    <t>Breast cancer is one of the leading causes of death among women worldwide. Histopathological images have proven to be a reliable way to find out if someone has breast cancer over time, however, it could be time consuming and require much resources when observed physically. In order to lessen the burden on the pathologists and save lives, there is need for an automated system to effectively analysis and predict the disease diagnostic. In this paper, a lightweight separable convolution network (LWSC) is proposed to automatically learn and classify breast cancer from histopathological images. The proposed architecture aims to treat the problem of low quality by extracting the visual trainable features of the histopathological image using a contrast enhancement algorithm. LWSC model implements separable convolution layers stacked in parallel with multiple filters of different sizes in order to obtain wider receptive fields. Additionally, the factorization and the utilization of bottleneck convolution layers to reduce model dimension were introduced. These methods reduce the number of trainable parameters as well as the computational cost sufficiently with greater non-linear expressive capacity than plain convolutional networks. The evaluation results depict that the proposed LWSC model performs optimally, obtaining 97.23% accuracy, 97.71% sensitivity, and 97.93% specificity on multi-class categories. Compared with other models, the proposed LWSC obtains comparable performance. © 2023 by the authors.</t>
  </si>
  <si>
    <t>https://www.scopus.com/inward/record.uri?eid=2-s2.0-85189939027&amp;doi=10.1109%2FAICS60730.2023.10470496&amp;partnerID=40&amp;md5=8d529085a39d70e254723aadb160592a</t>
  </si>
  <si>
    <t>Breast cancer is a major killer of women worldwide and one of the leading causes of death overall. It involves the progressive abnormal growth of breast tissue which, if detected at an early stage, can be diagnosed as a tumor. Traditional breast cancer screening methods, such as X-ray mammography, magnetic resonance imaging, and ultrasound scanning, present several drawbacks, making them less than ideal. These drawbacks include high costs, exposure to potentially hazardous radiation, and patient inconvenience. Due to these challenges, researchers have been motivated to seek alternative methods, one of which involves the application of microwave technology. In recent years, wearable and flexible patch antennas have gained popularity due to their appealing characteristics and the potential to develop lightweight, compact, low-cost, and adaptable solutions for biomedical applications. This article provides an overview of microwave approaches for breast tumor detection using microstrip patch antennas. In particular, recent advancements in active microwave imaging and microwave-based methods are reviewed. The primary goal of this work is to offer researchers and medical professionals an understanding of the underlying principles, techniques, and challenges associated with microwave imaging for breast tumor/cancer detection. Additionally, this study aims to highlight the fact that, as of now, commercially available, cost-effective microwave-based technologies for imaging or detecting breast tumors/cancer are relatively scarce. This observation is not meant to imply that microwave technology is ineffective for breast tumor/cancer diagnosis; rather, it seeks to spark a constructive discussion about why, despite years of dedicated research, a widely accessible commercial technology has yet to be made available. © 2024 The Authors.</t>
  </si>
  <si>
    <t>biomedical application; breast tissue; breast tumor/cancer; Flexible antennas; IoT; ISM band; SAR; UWB; wearable antenna</t>
  </si>
  <si>
    <t>Mammography; Masers; Ultrasonic imaging; Wearable antennas; Biomedical applications; Breast tissues; Breast tumor/cancer; Breast tumour; Flexible antennas; IoT; ISM bands; Micro-strip patch antennas; Microstrip-patch antenna; UWB; Microstrip antennas</t>
  </si>
  <si>
    <t>2-s2.0-85209652985</t>
  </si>
  <si>
    <t>Kamaruddin, N.S.; Rahim, H.A.; Al-Bawri, S.S.</t>
  </si>
  <si>
    <t>Kamaruddin, Noor Syahirah (59417300100); Rahim, Hasliza A. (57202496362); Al-Bawri, Samir Salem (57188980924)</t>
  </si>
  <si>
    <t>59417300100; 57202496362; 57188980924</t>
  </si>
  <si>
    <t>Enhanced Bandwidth of Hexagonal Slotted UWB Textile Antenna Sensor for Breast Cancer Detection System</t>
  </si>
  <si>
    <t>10.1109/ICoCET63343.2024.10730618</t>
  </si>
  <si>
    <t>https://www.scopus.com/inward/record.uri?eid=2-s2.0-85209649163&amp;doi=10.1109%2FICoCET63343.2024.10730618&amp;partnerID=40&amp;md5=166d6663e9c2e809288ecee6e68a55f5</t>
  </si>
  <si>
    <t>Breast cancer is a prevalent form of cancer with significant mortality and morbidity rates among women worldwide. Early detection is vital in increasing the chances of survival and one of the major approaches for breast cancer screening and detection is medical imaging. Advancements in technology have given rise to 3D medical imaging such as Abbreviated Breast MRI and DBT, overcoming the challenges of tissue overlapping in 2D modalities. However, deep learning model development using this 3D medical imaging comes with higher computational costs and complexity. This study proposes a lightweight deep learning technique based on three slice selection techniques using entropy, variance, and gradient magnitude values from DBT medical imaging modality. The selection techniques help select only the most informative slices making computational cost and complexity reduced. Entropy value-based slice selection performed best with an accuracy of 91%. The results obtained using the slice selection techniques for lightweight deep learning model development show that it can diagnose breast cancer with a lower number of slices and less computational complexity compared to existing methods. © 2023 IEEE.</t>
  </si>
  <si>
    <t>Breast cancer is the most common disease among women and has become one of the leading causes of death in women worldwide. Early breast cancer detection is very crucial to attain an optimum medical treatment. This paper presents a hexagonal slotted Ultra-Wideband (UWB) textile antenna for breast cancer detection systems. The proposed antenna has a dimension of 44× 38mm2^2, with a substrate made of felt material characterized by a relative permittivity, r of 1.44, a loss tangent, tanδ of 0.044, and a thickness, h of 1.5 mm. The radiating element and ground plane of the antenna are using ShieldIt Super and the thickness is set to be 0.17 mm. The proposed antenna sensor consists of a hexagonal slotted monopole antenna and a partial ground plane. The partial ground plane technique is used to enhance the performance as well as to tune in the desired frequency range. The antenna operates from 2 to 10 GHz with a maximum gain of 3.62 dBi. In addition, the proposed textile antenna has a compact structure, wide bandwidth, lightweight, and flexible, thus meeting the requirements of breast cancer detection systems. © 2024 IEEE.</t>
  </si>
  <si>
    <t>Antennas; Bioelectromagnetics; Breast cancer detection; Textile antenna; UWB; Wearable; Wearable antenna</t>
  </si>
  <si>
    <t>Antenna grounds; Breath controlled devices; Microstrip antennas; Monopole antennas; Network-on-chip; Slot antennas; Wearable sensors; Antenna sensors; Bio-electromagnetics; Breast Cancer; Breast cancer detection; Detection system; Enhanced bandwidths; Partial ground plane; Textile antennas; Ultrawide band; Wearable; Wearable antennas</t>
  </si>
  <si>
    <t>2-s2.0-85209649163</t>
  </si>
  <si>
    <t>1043 LNNS</t>
  </si>
  <si>
    <t>https://www.scopus.com/inward/record.uri?eid=2-s2.0-85208977565&amp;partnerID=40&amp;md5=2ae3f4300e63387c2ef8a2a99545a23a</t>
  </si>
  <si>
    <t>The proceedings contain 29 papers. The topics discussed include: obstacle avoidance system based on electromagnetic sensor and visual ranging; a lightweight model for object detection in computer motherboard images; early breast cancer detection based on high-boost filtration, data fusion and modified object detection; maritime low-light image enhancement by joint EN-decoder architecture and feature enhancement network; collaborative representation based fisher discrimination dictionary learning for image classification; image colorization with fast Fourier convolution; image defogging method based on multi-scale and frequency domain features; usability of pre-trained diffusion models in generating novel datasets and its performance evaluation; and research on flight mechanism of pterodactyl based on Runge-Kutta algorithm.</t>
  </si>
  <si>
    <t>Patil, A.; Diwakar, H.; Sawant, J.; Kurian, N.C.; Yadav, S.; Rane, S.; Bameta, T.; Sethi, A.</t>
  </si>
  <si>
    <t>2-s2.0-85208977565</t>
  </si>
  <si>
    <t>1021 LNNS</t>
  </si>
  <si>
    <t>https://www.scopus.com/inward/record.uri?eid=2-s2.0-85152659545&amp;doi=10.1016%2Fj.jpi.2023.100306&amp;partnerID=40&amp;md5=ab74843ff4b0e0784100da5a8e7d0040</t>
  </si>
  <si>
    <t>https://www.scopus.com/inward/record.uri?eid=2-s2.0-85206393432&amp;partnerID=40&amp;md5=d1ae3838e15f103670f22c0c42a1d549</t>
  </si>
  <si>
    <t>2-s2.0-85206393432</t>
  </si>
  <si>
    <t>1038 LNNS</t>
  </si>
  <si>
    <t>https://www.scopus.com/inward/record.uri?eid=2-s2.0-85206081792&amp;partnerID=40&amp;md5=63abc2e3f5b27bd81515551637c17ea4</t>
  </si>
  <si>
    <t>2-s2.0-85206081792</t>
  </si>
  <si>
    <t>1024 LNNS</t>
  </si>
  <si>
    <t>Histopathology whole slide images (WSIs) are being widely used to develop deep learning-based diagnostic solutions, especially for precision oncology. Most of these diagnostic softwares are vulnerable to biases and impurities in the training and test data which can lead to inaccurate diagnoses. For instance, WSIs contain multiple types of tissue regions, at least some of which might not be relevant to the diagnosis. We introduce HistoROI, a robust yet lightweight deep learning-based classifier to segregate WSI into 6 broad tissue regions—epithelium, stroma, lymphocytes, adipose, artifacts, and miscellaneous. HistoROI is trained using a novel human in-the-loop and active learning paradigm that ensures variations in training data for labeling efficient generalization. HistoROI consistently performs well across multiple organs, despite being trained on only a single dataset, demonstrating strong generalization. Further, we have examined the utility of HistoROI in improving the performance of downstream deep learning-based tasks using the CAMELYON breast cancer lymph node and TCGA lung cancer datasets. For the former dataset, the area under the receiver operating characteristic curve (AUC) for metastasis versus normal tissue of a neural network trained using weakly supervised learning increased from 0.88 to 0.92 by filtering the data using HistoROI. Similarly, the AUC increased from 0.88 to 0.93 for the classification between adenocarcinoma and squamous cell carcinoma on the lung cancer dataset. We also found that the performance of the HistoROI improves upon HistoQC for artifact detection on a test dataset of 93 annotated WSIs. The limitations of the proposed model are analyzed, and potential extensions are also discussed. © 2023</t>
  </si>
  <si>
    <t>https://www.scopus.com/inward/record.uri?eid=2-s2.0-85202775536&amp;partnerID=40&amp;md5=8da973598f682212c8284d8514d2c3c2</t>
  </si>
  <si>
    <t>Ref</t>
  </si>
  <si>
    <t>Ruza, N.; Hussain, S.I.; Mohamed, S.K.C.; Arzmi, M.H.</t>
  </si>
  <si>
    <t>Early detection of breast cancer in mammograms using the lightweight modification of efficientNet B3</t>
  </si>
  <si>
    <t>https://www.scopus.com/inward/record.uri?eid=2-s2.0-85193588868&amp;doi=10.23967%2Fj.rimni.2023.08.002&amp;partnerID=40&amp;md5=693b397c8f41ed1e9bfec302313e3ed7</t>
  </si>
  <si>
    <t>Technique</t>
  </si>
  <si>
    <t>Detection</t>
  </si>
  <si>
    <t>Dataset</t>
  </si>
  <si>
    <t>Dataset type</t>
  </si>
  <si>
    <t>Latency</t>
  </si>
  <si>
    <t>Accuracy</t>
  </si>
  <si>
    <t>Precision</t>
  </si>
  <si>
    <t>Specificity</t>
  </si>
  <si>
    <t>Sensitivity / Recall</t>
  </si>
  <si>
    <t>2-s2.0-85202775536</t>
  </si>
  <si>
    <t>1st International Conference on Artificial Intelligence in Healthcare, AIiH 2024</t>
  </si>
  <si>
    <t>TP</t>
  </si>
  <si>
    <t>14976 LNCS</t>
  </si>
  <si>
    <t>F-test Measure</t>
  </si>
  <si>
    <t>AUC</t>
  </si>
  <si>
    <t>https://www.scopus.com/inward/record.uri?eid=2-s2.0-85202507213&amp;partnerID=40&amp;md5=f8bddf1a083b2b2afbb3e32fb37a4b48</t>
  </si>
  <si>
    <t>Category</t>
  </si>
  <si>
    <t>\cite{pramanik2023breast}</t>
  </si>
  <si>
    <t>SqueezeNet 1.1 + GA + GWO + k-nn</t>
  </si>
  <si>
    <t>BC Cells</t>
  </si>
  <si>
    <t>DMR-IR</t>
  </si>
  <si>
    <t>Image</t>
  </si>
  <si>
    <t>-</t>
  </si>
  <si>
    <t>The proceedings contain 47 papers. The special focus in this conference is on Artificial Intelligence in Healthcare. The topics include: Assessing the Impact of Deep Learning Backbones for Mass Detection in Breast Imaging; Transferable Variational Feedback Network for Vendor Generalization in Accelerated MRI; CVD_Net: Head and Neck Tumor Segmentation and Generalization in PET/CT Scans Across Data from Multiple Medical Centers; applying Deep Learning Based Super-Resolution to Knee Imaging; FM-LiteLearn: A Lightweight Brain Tumor Classification Framework Integrating Image Fusion and Multi-teacher Distillation Strategies; towards Improving Single-Cell Segmentation in Heterogeneous Configurations of Cardiomyocyte Networks; Texture Feature Analysis for Classification of Early-Stage Prostate Cancer in MpMRI; DELRecon: Depth Electrode Reconstruction Toolbox for Stereo-EEG; segmenting Breast Ultrasound Scans Using a Generative Adversarial Network Embedding U-Net; enhancing Predictive Accuracy in Embryo Implantation: The Bonna Algorithm and its Clinical Implications; bacterial Behaviour Analysis Through Image Segmentation Using Deep Learning Approaches; innovations in Mosquito Identification: Integrating Deep Learning with Citizen Science; action Recognition for Privacy-Preserving Ambient Assisted Living; weight Perturbations for Simulating Virtual Lesions in a Convolutional Neural Network; Using GANs to Visualise Class-Specific Features in Digital Histopathology Images; artificial Intelligence for Predicting Responses to Thyroid Cancer Treatment; ZMAM: A ZKP-Based Mutual Authentication Scheme for the IoMT; Demystifying the Ethical Framework for Generative AI in Healthcare: A Data Science Perspective; explainable Machine Learning: Predicting Clinical Outcomes in Welsh Emergency Departments; enhancing Performance for Highly Imbalanced Medical Data via Data Regularization in a Federated Learning Setting; intelligent Multi-document Summarisation for Extracting Insights on Racial Inequalities from Maternity Incident Investigation Reports; synthetic Patient Perspective Data for the Curation and Evaluation of Rare Disease Patient-Facing Technology.</t>
  </si>
  <si>
    <t>2-s2.0-85202507213</t>
  </si>
  <si>
    <t>Sahu, A.; Das, P.K.; Meher, S.</t>
  </si>
  <si>
    <t>Sahu, Adyasha (57220640510); Das, Pradeep Kumar (58827683400); Meher, Sukadev (24723040000)</t>
  </si>
  <si>
    <t>Breast cancer is one of the leading causes of death in women worldwide and early detection is critical to improving survival rates. In this study, we present a modified deep learning method for automatic feature detection for breast mass classification on mammograms. We propose to use EfficientNet, a Convolutional Neural Network (CNN) architecture that requires minimal parameters. The main advantage of EfficientNet is the small number of parameters, which allows efficient and accurate classification of mammogram images. Our experiments show that EfficientNet, with an overall accuracy of 86.5 percent, has the potential to be the basis for a fully automated and effective breast cancer detection system in the future. Our results demonstrate the potential of EfficientNet to improve the accuracy and efficiency of breast cancer detection compared to other approaches. © 2023, Scipedia S.L.. All rights reserved.</t>
  </si>
  <si>
    <t>57220640510; 58827683400; 24723040000</t>
  </si>
  <si>
    <t>A Deep Hybrid System for Effective Diagnosis of Breast Cancer</t>
  </si>
  <si>
    <t>They used Nvidia Tesla
T4 GPU</t>
  </si>
  <si>
    <t>Chaudhury, S.; Sau, K.; Khan, M.A.; Shabaz, M.</t>
  </si>
  <si>
    <t>\cite{kim2022deep}</t>
  </si>
  <si>
    <t>10.1201/9781003450153-14</t>
  </si>
  <si>
    <t>LightXception (Averaging)</t>
  </si>
  <si>
    <t>https://www.scopus.com/inward/record.uri?eid=2-s2.0-85200196856&amp;doi=10.1201%2F9781003450153-14&amp;partnerID=40&amp;md5=46f8f51dfd5e9bea468ddadbb15ec6c5</t>
  </si>
  <si>
    <t>BreakHis</t>
  </si>
  <si>
    <t>https://www.scopus.com/inward/record.uri?eid=2-s2.0-85152938328&amp;doi=10.3934%2Fmbe.2023457&amp;partnerID=40&amp;md5=9f25c627e323db9a1853641158e98277</t>
  </si>
  <si>
    <t>No mention of PC used</t>
  </si>
  <si>
    <t>LightXception (Threshold)</t>
  </si>
  <si>
    <t>Breast cancer is still a major global health concern, which emphasizes the need for reliable and effective screening techniques. This work provides a deep learning–based breast cancer detection system that leverages the potent combination of ShuffleNet for feature extraction and Random Forest for classification. In the initial stage of the pipeline, ShuffleNet, a lightweight deep convolution neural network (CNN) architecture, is used to extract features. ShuffleNet is perfect for large-scale medical image analysis because of its effective design, which provides faster processing while maintaining discriminative information. The collected features are then fed into the widely used random forest classifier. The collected features are then sent into a random forest classifier, a well-liked ensemble learning technique that excels at handling high-dimensional data and robustness. The proposed method makes use of ultrasound (BUSI) and mammography (mini-DDSM) datasets for training and evaluation in order to improve the precision and dependability of breast cancer diagnosis. The efficiency of the proposed deep learning–based breast cancer detection system is shown by experimental findings. It displays the best performance among the comparing schemes with a malignancy identification accuracy of 97.50% and 92.31% in mini-DDSM and BUSI datasets. © 2024 CRC Press.</t>
  </si>
  <si>
    <t>LightXception (Whole)</t>
  </si>
  <si>
    <t>2-s2.0-85200196856</t>
  </si>
  <si>
    <t>Karthikeyan, V.; Selva Nidhyananthan, S.S.; Renganathan, G.H.; Sri Vishnu, S.I.</t>
  </si>
  <si>
    <t>Karthikeyan, V. (57214534169); Selva Nidhyananthan, S. (55221843800); Renganathan, G. Hari (59228073100); Sri Vishnu, S. I. (59228215500)</t>
  </si>
  <si>
    <t>57214534169; 55221843800; 59228073100; 59228215500</t>
  </si>
  <si>
    <t>Detection of Breast Cancer using the Microstrip Patch Antenna on a PBG</t>
  </si>
  <si>
    <t>10.1109/ICITIIT61487.2024.10580378</t>
  </si>
  <si>
    <t>https://www.scopus.com/inward/record.uri?eid=2-s2.0-85199145295&amp;doi=10.1109%2FICITIIT61487.2024.10580378&amp;partnerID=40&amp;md5=6b6a6257d6458f53ea05bcf2752704f8</t>
  </si>
  <si>
    <t>Xception (Averaging)</t>
  </si>
  <si>
    <t>Xception (Threshold)</t>
  </si>
  <si>
    <t>One of the most effective approaches for identifying breast cancer is histology, which is the meticulous inspection of tissues under a microscope. The kind of cancer cells, or whether they are cancerous (malignant) or non-cancerous, is typically determined by the type of tissue that is analyzed by the test performed by the technician (benign). The goal of this study was to automate IDC classification within breast cancer histology samples using a transfer learning technique. To improve our outcomes, we combined a Gradient Color Activation Mapping (Grad CAM) and image coloring mechanism with a discriminative fine-tuning methodology employing a one-cycle strategy using FastAI techniques. There have been lots of research studies related to deep transfer learning which use the same mechanism, but this report uses a transfer learning mechanism based on lightweight Squeeze Net architecture, a variant of CNN (Convolution neural network). This strategy demonstrates that fine-tuning on Squeeze Net makes it possible to achieve satisfactory results when transitioning generic features from natural images to medical images. ©2023 the Author(s),</t>
  </si>
  <si>
    <t>Wen, K.; Jin, X.; An, H.; He, J.; Wang, J.</t>
  </si>
  <si>
    <t>CentroidNet：a light-weight，fast nuclei centroid detection model for breast Ki67 scoring; CentroidNet：轻量快速的乳腺癌 Ki67 细胞核中心点检测模型</t>
  </si>
  <si>
    <t>https://www.scopus.com/inward/record.uri?eid=2-s2.0-85162885117&amp;doi=10.11834%2Fjig.211207&amp;partnerID=40&amp;md5=043d6c230cdd8bfed947080bd9374f24</t>
  </si>
  <si>
    <t>Xception (Whole)</t>
  </si>
  <si>
    <t>\cite{laxmisagar2022detection}</t>
  </si>
  <si>
    <t>MobileNet1.40 + CNN</t>
  </si>
  <si>
    <t>BACH</t>
  </si>
  <si>
    <t>The microstrip patch antenna (MSPA) consists of a dielectric substrate positioned between a metallic steering cover and an earth plane. Microstrip patch antennas are increasingly popular due to their ease of analysis and fabrication, cost-effectiveness, lightweight design, ease of feeding, and appealing radiation characteristics. This paper focuses on designing a compact antenna suitable for an extensive domain of radio frequency solicitations, including military purposes. Typically, the MSPA operates through a microstrip edge feed or a coaxial cable. The rectangular and circular patch MSPAs represents the canonical forms of this structure. This paper introduces an innovative photonic band gap substrate-centered MSPA intended for tumor identification. The antenna dimensions are 600 × 600 × 157 μ m3, with a reverberation frequency of 0.203THz. It exhibits a reflection factor of -23.7554 ~dB and a gain of 7.2 ~dB. The design demonstrates excellent matching with the feedline, as indicated by a VSWR value of 1.1290. The achieved total radiation efficiency is 98.339 %. We conduct a comprehensive exploration of variations in the antenna's radiation properties resulting from changes in its geometry. The antenna's radiation characteristics are utilized for cancer diagnosis. © 2024 IEEE.</t>
  </si>
  <si>
    <t>MSML</t>
  </si>
  <si>
    <t>ISM band; Microstrip patch; PBG; polyimide substrate</t>
  </si>
  <si>
    <t>They used a powerful GPU with 2496 CUDA cores, 12 GB GDDR5 VRAM, and 12.6 GB RAM</t>
  </si>
  <si>
    <t>Antenna feeders; Cost effectiveness; Diagnosis; Directional patterns (antenna); Diseases; Microstrip antennas; Photonic band gap; Radiation efficiency; Slot antennas; Breast Cancer; Dielectric substrates; ISM bands; Metallics; Micro-strip patch antennas; Microstrip patch; Microstrip-patch antenna; PBG; Polyimide substrate; Radiation characteristics; Energy gap</t>
  </si>
  <si>
    <t>MobileNet1.40ex + CNN</t>
  </si>
  <si>
    <t>2-s2.0-85199145295</t>
  </si>
  <si>
    <t>Varun, C.; Poreddy, A.K.; Krishna, T.; Kokil, P.</t>
  </si>
  <si>
    <t>Varun, C. (59203664300); Poreddy, Ajay Kumar Reddy (57226012431); Krishna, Thunakala Bala (58125110300); Kokil, Priyanka (22941003700)</t>
  </si>
  <si>
    <t>59203664300; 57226012431; 58125110300; 22941003700</t>
  </si>
  <si>
    <t>A Computer Aided Detection System for Breast Cancer using Lightweight CNN Models for Smart Healthcare</t>
  </si>
  <si>
    <t>MobileNet2.00 + CNN</t>
  </si>
  <si>
    <t>10.1109/ICBSII61384.2024.10564079</t>
  </si>
  <si>
    <t>https://www.scopus.com/inward/record.uri?eid=2-s2.0-85197567970&amp;doi=10.1109%2FICBSII61384.2024.10564079&amp;partnerID=40&amp;md5=395cae1567e04dccd21457ef3d793001</t>
  </si>
  <si>
    <t>\cite{laxmisagar2021design}</t>
  </si>
  <si>
    <t>MobleNet2.10ex + CNN</t>
  </si>
  <si>
    <t>\cite{abdelli2020combined}</t>
  </si>
  <si>
    <t>MobileNet</t>
  </si>
  <si>
    <t>BreakHis + IDC</t>
  </si>
  <si>
    <t>Intel(R) Xeon(R) E5-2660 v3
CPU, 64 GB memory</t>
  </si>
  <si>
    <t>ResNet50</t>
  </si>
  <si>
    <t>Breast cancer (BC) is a potentially life-threatening disease that occurs because of uncontrolled growth of abnormal corpuscles in the breast tissue. Pathologists analyze the tissue structures using histopathological whole slide images to identify cancerous anomalies. However, pathologists face severe challenges such as fatigue, subjectivity, and inter-observer variability in the early detection of BC. Understanding the intricacies of BC from molecular tissue structures is complex, and inexpertise leads to adverse outcomes. This paper proposes a computed aided detection (CAD) system that can assist histopathologists in the early detection of BC, potentially reducing the abnormalities and diagnostic time. Leveraging the power of convolutional neural networks (CNNs), a stacked ensemble-based model is developed to identify benign and malignant cancerous tissues using histopathological images. The ensemble models comprise three deep CNNs, namely MobileNetV2, ShuffleNet, and SqueezeNet, trained on the BreakHis dataset. Finally, individual CNNs predictions are fed to the average voting-based classifier to identify benign and malignant tissues. The stacked ensemble-based deep CNN model outperformed the individual CNN models in BC prediction, achieving superior accuracy and robustness. © 2024 IEEE.</t>
  </si>
  <si>
    <t>Convolutional neural networks; deep learning; hsitopathology; stacked ensemble</t>
  </si>
  <si>
    <t>Computer aided diagnosis; Computer aided instruction; Convolution; Convolutional neural networks; Deep learning; Histology; Neural network models; Tissue; Breast Cancer; Breast tissues; Computer aided detection systems; Convolutional neural network; Early detection of breast cancer; Hsitopathology; Neural network model; Stacked ensemble; Tissue structure; Diseases</t>
  </si>
  <si>
    <t>2-s2.0-85197567970</t>
  </si>
  <si>
    <t>Kaladevi, P.; Vivekananthan, P.; Sanjith, B.; Praveen, S.V.</t>
  </si>
  <si>
    <t>Kaladevi, P. (57200696934); Vivekananthan, P. (59163182200); Sanjith, Bolloju (59163405600); Praveen, S. V. (59592906200)</t>
  </si>
  <si>
    <t>57200696934; 59163182200; 59163405600; 59592906200</t>
  </si>
  <si>
    <t>\cite{liu2020effidiag}</t>
  </si>
  <si>
    <t>Efficient Breast Cancer Detection using Lightweight Multimodal Approach</t>
  </si>
  <si>
    <t>U-net + CNN</t>
  </si>
  <si>
    <t>Camelyon16</t>
  </si>
  <si>
    <t>10.1109/ICNWC60771.2024.10537581</t>
  </si>
  <si>
    <t>Objective Breast cancer-prognostic Ki67 score can be as a key indicator for the proliferation rate of malignant （invasive）cells. Negative and positive nuclei detection is an essential part of Ki67 scoring. An automated algorithm for nuclei detection can alleviate the negative impact of intra/inter-observer variation and labor-intensive nuclei counting. In recent years，deep learning methods have been developing intensively in relevant to recognition tasks on pathology images in terms of their learning potentials. Deep learning-based model can learn features derived from the raw data and relieve labor-intensive annotation of training images for pathologists. To alleviate the labor cost of annotation，our research is focused on modeling Ki67 nuclei detection as the centroid detection problem. The existing centroid detection models are commonly used to convert the centroid annotation into a probability map with the same size as the input image，the centroid detection problem is thus converted to a semantic segmentation-like problem. However，a semantic segmentation model has restricted by huge computation cost due to its huge amount of convolutional layers-related decoder. Nevertheless，due to the non-deep-learning post processing on the output heatmap，the whole detection process is complicated and inefficient，and the quality of a deep learning model is required to be developed further. Our CentroidNet model is facilitated to optimize nucleus centroid detection. Method The CentroidNet consists of a fully convolutional centroid detector initiated by ResNeXt，along with the detector’s training and inference methods. The CentroidNet can place evenly spaced anchor points on the input image. Actually，the anchor points are the places where the center of the detector’s receptive field is sited on. Each anchor point-interconnected detector can predict the classification probabilities and the offset to the anchor point，which is called a candidate point as a whole. In this way，the anchor points are the niches of the candidate points. A candidate point has the highest probability and is higher than 0. 9. It is treated as predicted point. To assign labels for anchor/candidate points，we implement the“nearest anchor”strategy. This strategy can assign any annotated point to its nearest anchor point literally. Those anchor points are not assigned via any background label-assigned annotated point，whereas those classified label is“background”and label-coordinated is the anchor’s coordinate. This strategy is mutual-benefited between annotated points and anchor/candidate points. The label jittering problem can be avoided，which is often seen in current one-to-one assignment strategies. The anchors-between spacing is concerned about more. We recommend that the anchor spacing approximate the First Percentile of the minimal distance between each annotated point in the training set to its neighboring annotated points. Such spacing can balance the ratio of foreground labels，regression-coordinated，and optimal efficiency. The CentroidNet’s detector can avoid the commonly adopted paradigm of U-Net or feature pyramid network（FPN），which involves shortcut connections and multiple upsampling layers. This lightweight detector can improve quality and efficiency. Result We evaluate the quality and efficiency of CentroidNet model on BCData，the largest publicly available dataset for centroid detection of Ki67 carcinoma nuclei in breast cancer. For quality analysis，the CentroidNet can achieve an averaged F1 score of 0. 879 1 compared to the SOTA（state of the art）score. For efficiency evaluation，the CentroidNet can achieve SOTA with an inference speed of 12. 96 ms/image and a GPU memory footprint of 138. 8 MB/image. Conclusion The CentroidNet is featured of light-weight，efficient and ease of use. It has the potentials for centroid detection of Ki67 carcinoma nuclei in breast cancer. © 2023 Journal of Image and Graphics. All rights reserved.</t>
  </si>
  <si>
    <t>https://www.scopus.com/inward/record.uri?eid=2-s2.0-85195398942&amp;doi=10.1109%2FICNWC60771.2024.10537581&amp;partnerID=40&amp;md5=0708e44e542b3302a8a667101a738a34</t>
  </si>
  <si>
    <t>Tu, S.; Li, W.; Ai, X.; Li, H.; Yue, Q.; Ur Rehman, S.U.</t>
  </si>
  <si>
    <t>A workstation with one Geforce GTX TITAN XP GPU, but they also tested without GPU.</t>
  </si>
  <si>
    <t>\cite{elbashir2019lightweight}</t>
  </si>
  <si>
    <t>https://www.scopus.com/inward/record.uri?eid=2-s2.0-85191413740&amp;doi=10.1145%2F3638782.3638836&amp;partnerID=40&amp;md5=b5f5b52c04d36fdf85f00ea1f966c253</t>
  </si>
  <si>
    <t>CNN</t>
  </si>
  <si>
    <t>Gene Expression</t>
  </si>
  <si>
    <t>TCGA</t>
  </si>
  <si>
    <t>Text*</t>
  </si>
  <si>
    <t>In the realm of breast cancer detection, the pursuit of efficiency and accuracy remains paramount. This paper explores the integration of lightweight multimodal approaches to enhance the efficacy of breast cancer detection systems. By leveraging various modalities such as imaging, clinical data, and emerging technologies, this approach seeks to optimize detection processes while minimizing computational burdens. Through a comprehensive review of existing methodologies and the development of novel algorithms, this study aims to contribute to the advancement of early detection techniques. The proposed framework demonstrates promising results in terms of both sensitivity and specificity, offering a pragmatic solution to the challenges faced in breast cancer diagnosis. © 2024 IEEE.</t>
  </si>
  <si>
    <t>Breast Cancer Detection; Convolutional Neural Network; Deep Learning; Lightweight algorithmns; Multimodal</t>
  </si>
  <si>
    <t>Deep learning; Diseases; Medical imaging; Breast cancer detection; Clinical data; Convolutional neural network; Data technologies; Detection system; Emerging technologies; Lightweight algorithmns; Multi-modal; Multi-modal approach; Convolutional neural networks</t>
  </si>
  <si>
    <t>2-s2.0-85195398942</t>
  </si>
  <si>
    <t>\cite{oliveira2019lightweight}</t>
  </si>
  <si>
    <t>Ahmed, S.T.; Barua, S.; Fahim-Ul-Islam, M.; Chakrabarty, A.</t>
  </si>
  <si>
    <t>Ahmed, Sarder Tanvir (58930689300); Barua, Shomtirtha (58931076300); Fahim-Ul-Islam, Md (58930069100); Chakrabarty, Amitabha (35108854200)</t>
  </si>
  <si>
    <t>ResNet50 + VGG16</t>
  </si>
  <si>
    <t>58930689300; 58931076300; 58930069100; 35108854200</t>
  </si>
  <si>
    <t>Lesion</t>
  </si>
  <si>
    <t>INbreast</t>
  </si>
  <si>
    <t>10.1109/ICEEICT62016.2024.10534420</t>
  </si>
  <si>
    <t>https://www.scopus.com/inward/record.uri?eid=2-s2.0-85195238134&amp;doi=10.1109%2FICEEICT62016.2024.10534420&amp;partnerID=40&amp;md5=50c61d5be0a8e8214385c5e27f92d4de</t>
  </si>
  <si>
    <t>TP value is when the threshold (T) value for the first stage detector is 0.6
No mention of PC used.</t>
  </si>
  <si>
    <t>\cite{li2018efficient}</t>
  </si>
  <si>
    <t>Random forest + CNN</t>
  </si>
  <si>
    <t>Mitosis figure</t>
  </si>
  <si>
    <t>ICPR 2012</t>
  </si>
  <si>
    <t>It breaks detection into localization, filtration, and detection stages to improve the accuracy of the CNN. However, this will increase the system's latency.
Able to run on standard machines with only a CPU</t>
  </si>
  <si>
    <t>\cite{yan2024convolutional}</t>
  </si>
  <si>
    <t>2-stage CNN with attention mechanism</t>
  </si>
  <si>
    <t>One of the main areas of study in diagnostic radiology and medical imaging is computer-aided diagnosis (CAD). In reality, a significant number of CAD systems have been used to help doctors identify breast tumours early on mammograms. Medical image analysis algorithms are helpful in providing a better and more accurate comprehension of medical images as well as in boosting the dependability of medical images in the healthcare system because therapy and illness diagnosis are so crucial in medical imaging. Leveraging advanced machine learning techniques has become an invaluable tool for healthcare professionals, enhancing early detection and personalizing treatment plans.Therefore, in this work, we began by mentioning several cutting-edge techniques for detecting breast cancer using a deep learning methodology. The primary drawback of current research is that existing models only concentrate on identifying or detecting benign or malignant tumours, rather than specific types of tumours such adenosis, phyllodes tumour, or lobular carcinoma. We used a number of lightweight deep learning models, like ShuffleNet, to create a flexible model. [11]Additionally, in order to achieve recognition, we create the Resnet50 classical CNN model based on transfer learning.By incorporating transfer learning, the model can effectively use pre-trained networks to enhance its learning capability, potentially yielding better performance than training from scratch.number of lightweight deep learning models, like ShuffleNet, to create a flexible model. [4] A new multi-label breast cancer tissues classification model that combines the benefits of Resnet and the Attention mechanism is also taken into consideration.This innovative approach is designed to focus on specific regions of interest within the images, which can potentially lead to a higher accuracy in detecting subtler signs of various tumour types. © 2023 ACM.</t>
  </si>
  <si>
    <t>BACH  + BreakHis</t>
  </si>
  <si>
    <t>Mammograms are a main diagnostic technique for breast cancer screening, but their interpretation can be difficult and prone to human error. In the field of medical imaging, with a specific focus on mammogram analysis, this research paper introduces an innovative approach to mammogram mass detection. The study leverages an optimized CoAtNet (a hybrid model that combines depthwise convolution and self-attention via relative attention while stacking convolution and attention layers selectively) applied to a publicly available mammography dataset. The proposed model exhibits encouraging performance metrics, boasting precision and recall rates of 0.77 and 0.78, respectively, along with an F1-score of 0.77. This notable improvement distinguishes it from other existing deep learning (DL) and machine learning (ML) models that we have tested before-hand. Additionally, we attempt to enhance the interpretability and transparency of the model's decision-making process, the research integrates explainable AI techniques such as LIME (Local Interpretable Model-agnostic Explanations) and Grad-CAM (Gradient-weighted Class Activation Mapping). These tools play a pivotal role in providing insightful explanations for the model's predictions, thereby increasing the trustworthiness and reliability of AI in medical diagnostics, especially in the context of breast cancer detection. Moreover, the research underscores the significance of combining deep learning architectures with explainable AI methodologies, highlighting their potential to advance the accuracy and transparency of medical imaging technologies. © 2024 IEEE.</t>
  </si>
  <si>
    <t>CoAtNet Model; Deep learning; Ex-plainable AI; Mammogram Analysis; Medical Imaging</t>
  </si>
  <si>
    <t>Convolution; Decision making; Deep learning; Diseases; Learning systems; Lime; Transparency; X ray screens; Breast cancer screening; Coatnet model; Diagnostics techniques; Ex-plainable AI; Human errors; Innovative approaches; Mammogram analysis; Mass detection; Research papers; Mammography</t>
  </si>
  <si>
    <t>2-s2.0-85195238134</t>
  </si>
  <si>
    <t>\cite{kotei2024visual}</t>
  </si>
  <si>
    <t>Agarwal, M.; Dwivedi, A.K.; Gupta, S.K.; Najafzadeh, M.; Jindal, M.</t>
  </si>
  <si>
    <t>self-attention-based CNN</t>
  </si>
  <si>
    <t xml:space="preserve">KBCUD </t>
  </si>
  <si>
    <t>Agarwal, Mohit (57198019454); Dwivedi, Amit Kumar (57214235001); Gupta, Suneet Kumar (57213337943); Najafzadeh, Mohammad (54896489100); Jindal, Mani (58553133900)</t>
  </si>
  <si>
    <t>57198019454; 57214235001; 57213337943; 54896489100; 58553133900</t>
  </si>
  <si>
    <t>\cite{kalita2024new}</t>
  </si>
  <si>
    <t>2054 CCIS</t>
  </si>
  <si>
    <t>FNAC</t>
  </si>
  <si>
    <t>10.1007/978-3-031-56703-2_31</t>
  </si>
  <si>
    <t>https://www.scopus.com/inward/record.uri?eid=2-s2.0-85190406689&amp;doi=10.1007%2F978-3-031-56703-2_31&amp;partnerID=40&amp;md5=aee99544cb9a181b8138485e1f6af6cd</t>
  </si>
  <si>
    <t>\cite{huangbm}</t>
  </si>
  <si>
    <t xml:space="preserve">Bilinear MobileNet-V3 </t>
  </si>
  <si>
    <t>ICIAR2018</t>
  </si>
  <si>
    <t>\cite{luna2024lightweight}</t>
  </si>
  <si>
    <t xml:space="preserve"> \cite{zhang2020artificial}</t>
  </si>
  <si>
    <t>Knowledge Distillation</t>
  </si>
  <si>
    <t>lesion</t>
  </si>
  <si>
    <t>PUSH Ultrasound Images</t>
  </si>
  <si>
    <t xml:space="preserve">\cite{zahir2021applying} </t>
  </si>
  <si>
    <t>Transfer Learning (VGG16)</t>
  </si>
  <si>
    <t>\cite{gnanaprakash2023lightweight}</t>
  </si>
  <si>
    <t>WBDC</t>
  </si>
  <si>
    <t>Text</t>
  </si>
  <si>
    <t>IoT devices are widely used in medical domain for detection of high blood sugar and life threatening disease such as cancer. Breast cancer is one of the most challenging type of cancer which not only affects women but in some cases men also. Deep learning is one of the widely used technology which provides efficient classification of cancerous lumps but it is not useful for IoT devices as the devices lack resources such as storage and computation. For the suitability in IoT devices, in this work, we are compressing UNet, the popular semantic segmentation technique, for the pixel-wise classification of breast cancer. For compressing the deep learning model, we use genetic algorithm which removes the unwanted layers and hidden units in the existing UNet model. We have evaluated the proposed model and compared with the existing model(s) and found that the proposed compression technique suppresses the storage requirement to 77.1%. Additionally, it also improves the inference time by 3.82× without compromising the accuracy. We conclude that the primary reason of inference time improvement is the requirement of less number of weight and bias by the proposed model. © The Author(s), under exclusive license to Springer Nature Switzerland AG 2024.</t>
  </si>
  <si>
    <t>\cite{raiaan2024mammo}</t>
  </si>
  <si>
    <t>CBIS-DDSM +
MIAS</t>
  </si>
  <si>
    <t>99.17
98.42</t>
  </si>
  <si>
    <t>99.16
98.48</t>
  </si>
  <si>
    <t>99.72
99.20</t>
  </si>
  <si>
    <t>99.14
98.37</t>
  </si>
  <si>
    <t>99.15
98.42</t>
  </si>
  <si>
    <t>The proceedings contain 57 papers. The special focus in this conference is on Emerging Applications of Information Technology. The topics include: A Method of Genome Sequence Comparison Based on a New Form of Fuzzy Polynucleotide Space; identification of Humans by Using Machine Learning Models on Gait Features; efficient Heart Disease Prediction Using Modified Hybrid Classifier; an Unstructured Mammogram Analysis for Feasible Classification and Detection of Breast Cancer Using a Convolutional Approach; Emotion Recognition from EEG Data Using Hybrid Deep Learning Approach; colon Cancer Prediction with Transfer Learning and K-Means Clustering; lightweight Authentication Protocol for E-Healthcare Systems Using Fuzzy Commitment Scheme; performance Analysis of Machine Learning Algorithms for Prediction of Cerebral Attack (Stroke); breast Cancer Detection Using Transfer Learning Techniques in Convolutional Neural Networks; improving Mental Health Through Multimodal Emotion Detection from Speech and Text Data Using Long-Short Term Memory; a Machine Learning-Based Prediction Model for Fetal Health Assessment; A Smart System for Assessment of Mental Health Using Explainable AI Approach; binary Classification of Thyroid Using Comprehensive Set of Machine Learning Algorithms; Interpretability Approaches of Explainable AI in Analyzing Features for Lung Cancer Detection; impregnable Healthcare Ecosystem Using Blockchain and Artificial Intelligence Approaches; RIWT Generative Feedback Residual Network for Secure Clinical Data Communication in Healthcare Unit; blockchain-Based Smart Integrated Healthcare System; Designing a Secure Robust Medical Image Authentication Based on Watermarking Using the ED-DWT and Encryption; IoT-Based Secure Blockchain Framework for Patient Record Management Using MPRESENT Lightweight Block Cipher; hybridized Support Vector Machine and Adaboost Technique for Malaria Diagnosis; feather-Light Vessel Segregation Model.</t>
  </si>
  <si>
    <t>Compression &amp; Acceleration; Deep Learning; Genetic Algorithm; Semantic Segmentation; UNet</t>
  </si>
  <si>
    <t>\cite{patel2023revolutionizing}</t>
  </si>
  <si>
    <t>Deep learning; Diseases; Internet of things; Learning algorithms; Semantic Segmentation; Semantics; Blood sugars; Breast Cancer; Breast cancer classifications; Compression &amp; acceleration; Medical domains; Optimisations; Segmentation techniques; Semantic segmentation; Unet; Genetic algorithms</t>
  </si>
  <si>
    <t>\cite{nissar2024mob}</t>
  </si>
  <si>
    <t>MobileNet-V3 + Attension Mechanism</t>
  </si>
  <si>
    <t>CMMD</t>
  </si>
  <si>
    <t>2-s2.0-85190406689</t>
  </si>
  <si>
    <t>\cite{abdelmawgood2023modeling}</t>
  </si>
  <si>
    <t>ANN</t>
  </si>
  <si>
    <t>Non-External</t>
  </si>
  <si>
    <t>Luna-Lozoya, Ricardo Salvador (58478617900); Ochoa Domínguez, Humberto de Jesús (55939609300); Sossa-Azuela, Juan Humberto (6602238115); Cruz-Sánchez, Vianey Guadalupe (57208813028); Vergara Villegas, Osslan Osiris (14632566600)</t>
  </si>
  <si>
    <t>58478617900; 55939609300; 6602238115; 57208813028; 14632566600</t>
  </si>
  <si>
    <t>Computacion y Sistemas</t>
  </si>
  <si>
    <t>10.13053/CyS-28-1-4892</t>
  </si>
  <si>
    <t>The proceedings contain 35 papers. The special focus in this conference is on Trends in Electronics and Health Informatics. The topics include: Cognitive Assessment and Trading Performance Correlations; molecular Docking Study of Oxido-Vanadium Complexes with Proteins Involved in Breast Cancer; multi-Level Stress Detection using Ensemble Filter-based Feature Selection Method; a Hybrid Transfer Learning and Segmentation Approach for the Detection of Acute Lymphoblastic Leukemia; Logistic Regression Approach to a Joint Classification and Feature Selection in Lung Cancer Screening Using CPRD Data; HI Applications for ADHD Children: A Case for Enhanced Visual Representations Using Novel and Adapted Guidelines; Trimmed-TDL-Based Time-to-Digital Converter for Time-of-Flight Applications Implemented on Cyclone V FPGA; CO&lt;inf&gt;2&lt;/inf&gt; Monitoring System to Warn of Possible Risk of Spread of COVID-19 in Classrooms; high-Power Analysis for Outage Probability and Average Symbol Error Probability over Non-identical κ - μ Double Shadowed Fading; Flexible Systolic Hardware Architecture for Computing a Custom Lightweight CNN in CT Images Processing for Automated COVID-19 Diagnosis; hjorth Parameters in Event-Related Potentials to Detect Minimal Hepatic Encephalopathy; The V-Band Substrate Integrated Waveguide Antenna for MM Wave Application; the Influence of an Extended Optical Mode on the Performance of Microcavity Forced Oscillator; synthesis and Characterization of Fe&lt;inf&gt;3&lt;/inf&gt;O&lt;inf&gt;4&lt;/inf&gt;@SiO&lt;inf&gt;2&lt;/inf&gt; Core/shell Nanocomposite Films; optical and Structural Study of a Fibonacci Structure Manufactured by Porous Silicon and Porous SiO&lt;inf&gt;2&lt;/inf&gt; ; amyloid-β Can Form Fractal Antenna-Like Networks Responsive to Electromagnetic Beating and Wireless Signaling; how Does Microtubular Network Assists in Determining the Location of Daughter Nucleus: Electromagnetic Resonance as Key to 3D Geometric Engineering; computational Study of Absorption and Emission of Luteolin Molecule.</t>
  </si>
  <si>
    <t>The proceedings contain 47 papers. The topics discussed include: towards improving clinical practice guidelines through named entity recognition: model development and evaluation; lightweight deep learning for breast cancer diagnosis based on slice selection techniques; deep reinforcement learning for advanced persistent threat detection in wireless networks; identifying influential citations in scientific papers; empowering federated learning: tackling client drift and resource constraints with knowledge distillation by combining losses; speech-based Alzheimer’s disease classification system with noise-resilient features optimization; ChatPapers: an AI chatbot for interacting with academic research; machine learning-assisted multi-objective optimization of biomass combustion process; and reinforcement learning for stock option trading.</t>
  </si>
  <si>
    <t>deep learning; Microcalcifications clusters detection; shallow convolutional neural network</t>
  </si>
  <si>
    <t>2-s2.0-85188740503</t>
  </si>
  <si>
    <t>Aslam, S.M.</t>
  </si>
  <si>
    <t>Aslam, Shabnam Mohamed (57218542441)</t>
  </si>
  <si>
    <t>Benign/Malignant Breast Cancer Detection in Histopathology Image using Fused Deep-Learning Features</t>
  </si>
  <si>
    <t>10.1109/ICETAS62372.2024.11119958</t>
  </si>
  <si>
    <t>https://www.scopus.com/inward/record.uri?eid=2-s2.0-105015892537&amp;doi=10.1109%2FICETAS62372.2024.11119958&amp;partnerID=40&amp;md5=2fb5de5458b9789098a36410aa807184</t>
  </si>
  <si>
    <t>The proceedings contain 150 papers. The topics discussed include: an efficient mixed integer nonlinear program model for optimal positions of pressure reducing valves in water distribution systems; scalable web-based application for dynamic multi-tenant hotel reservation management; breast cancer detection using thermal infrared image analysis based on Dempster-Shafer decision fusion of CNN classifiers; impact of feature encoding on malware classification explainability; system for smart blood donation and stimulation with blockchain; study on the finite element modeling of the mechanical stresses of the samples of nuclear structural materials; arrhythmia classifier based on ultra-lightweight binary neural network; feature selection using genetic algorithms for improving accuracy in image classification tasks; preparing students for university and research careers in science and engineering; improving air pollution forecasting in smart cities using clustering techniques; and blockchain technology in improving transparency and efficiency in government operations.</t>
  </si>
  <si>
    <t>Abnormal cell growth in organs is recognized as cancer, one of the most severe and life-threatening diseases. Timely detection of cancer is essential to treat the illness using recommended treatment procedures. This research work considered the Breast Cancer (BC) for the investigation. It is one of the common cancers in women and clinical level diagnosis is performed using the medical-image guided methods. Histopathology-image based examination of the BC is essential for detecting its harshness. This research aims to develop Lightweight Deep-learning (LD) approach to classify the images into benign/malignant class. The stages of this scheme includes; image collection and resizing, feature extraction using the LD approach, feature reduction using 50% dropout and serial features generation, and classification and 3-fold cross validation. This investigation considered the BreakHis benchmark database with 40X and 100X magnification for the study. In this work, the LD methods, like MobileNet and NASNet are considered to develop the proposed examination scheme. BC detection is executed using the individual-features (IF), and fused-features (FF) using SoftMax classifier. The experimental outcome of this study confirms that the FF based classification provides 100% detection accuracy on both 40X and 100X magnified images. © 2024 IEEE.</t>
  </si>
  <si>
    <t>Breast cancer; Classification; Features fusion; Healthcare; Histology slide</t>
  </si>
  <si>
    <t>Computer aided diagnosis; Diseases; Engineering research; Feature extraction; Health care; Histology; Image classification; Medical image processing; Breast Cancer; Breast cancer detection; Features fusions; Healthcare; Histology slides; Image collections; Image resizing; Image-based; Image-guided; Learning approach; Classification (of information)</t>
  </si>
  <si>
    <t>2-s2.0-105015892537</t>
  </si>
  <si>
    <t>Kanagamalliga, S.; Varma, D.B.</t>
  </si>
  <si>
    <t>Kanagamalliga, S. (56884761200); Varma, Dandu Bhavya (59661198200)</t>
  </si>
  <si>
    <t>56884761200; 59661198200</t>
  </si>
  <si>
    <t>Cutting-Edge Neural Networks Elevating Breast Cancer Diagnosis Accuracy through Image Analysis</t>
  </si>
  <si>
    <t>10.1109/ICSCSA64454.2024.00070</t>
  </si>
  <si>
    <t>https://www.scopus.com/inward/record.uri?eid=2-s2.0-105001473402&amp;doi=10.1109%2FICSCSA64454.2024.00070&amp;partnerID=40&amp;md5=9be84a9c4fc8c0a306d37383c9b96b47</t>
  </si>
  <si>
    <t>The diagnosis of breast cancer is being enhanced by cutting-edge neural networks, with lightweight Convolutional Neural Networks (CNNs) optimized for mobile devices playing a pivotal role. Early-stage prediction is enabled through the automatic analysis of breast imaging data, such as mammograms and ultrasounds, directly on portable devices. Models like MobileNet, designed for efficient image analysis with minimal computational power, are ideally suited for smartphones and tablets. By incorporating cloud-based transfer learning, pretrained networks can be used to improve diagnostic accuracy, even in areas with limited access to advanced medical facilities. Real-Time image analysis is facilitated, allowing for faster and more precise breast cancer screening at the point of care. Through mobile applications, patients are able to conduct preliminary self-screening, reducing dependence on centralized medical systems and promoting early recognition, which is critical for successful treatment. This method has the potential to significantly increase access to breast cancer screening, especially in underserved regions, improving early diagnosis and patient outcomes. By combining CNN technology with mobile devices, a more accessible, scalable, and efficient approach to breast cancer diagnosis is provided, offering advanced medical tools directly to patients. © 2024 IEEE.</t>
  </si>
  <si>
    <t>Breast cancer diagnosis; Cloud-based transfer learning; Early-stage detection; Lightweight CNNs; Mobile device optimization</t>
  </si>
  <si>
    <t>Mammography; Breast cancer diagnosis; Cloud-based; Cloud-based transfer learning; Convolutional neural network; Cutting edges; Device optimization; Early-stage detection; Lightweight convolutional neural network; Mobile device optimization; Transfer learning; Portable equipment</t>
  </si>
  <si>
    <t>2-s2.0-105001473402</t>
  </si>
  <si>
    <t>Cherakhloo, M.; Ranjbar, M.; Mohebbi, M.; Vosoughi-Vahdat, B.V.</t>
  </si>
  <si>
    <t>Cherakhloo, Mahdi (57222155547); Ranjbar, Mahtab (57222588434); Mohebbi, Mehdi (59414764200); Vosoughi-Vahdat, Bijan (55666502200)</t>
  </si>
  <si>
    <t>57222155547; 57222588434; 59414764200; 55666502200</t>
  </si>
  <si>
    <t>DCT-HistoTransformer: Efficient Lightweight Vision Transformer with DCT Integration for histopathological image analysis</t>
  </si>
  <si>
    <t>10.1109/ICBME64381.2024.10895619</t>
  </si>
  <si>
    <t>https://www.scopus.com/inward/record.uri?eid=2-s2.0-105000626612&amp;doi=10.1109%2FICBME64381.2024.10895619&amp;partnerID=40&amp;md5=ba3ab5ef28d277b2e76410d8ec4f92aa</t>
  </si>
  <si>
    <t>.</t>
  </si>
  <si>
    <t>In recent years, the integration of advanced imaging techniques and deep learning methods has significantly advanced computer-aided diagnosis (CAD) systems for breast cancer detection and classification. Transformers, which have shown great promise in computer vision, are now being applied to medical image analysis. However, their application to histopathological images presents challenges due to the need for extensive manual annotations of whole-slide images (WSIs), as these models require large amounts of data to work effectively, which is costly and time-consuming. Furthermore, the quadratic computational cost of Vision Transformers (ViTs) is particularly prohibitive for large, high-resolution histopathological images, especially on edge devices with limited computational resources. In this study, we introduce a novel lightweight breast cancer classification approach using transformers that operates effectively without large datasets. By incorporating parallel processing pathways for Discrete Cosine Transform (DCT) Attention and MobileConv, we convert image data from the spatial domain to the frequency domain to utilize the benefits such as filtering out high frequencies in the image, which reduces computational cost. This demonstrates the potential of our approach to improve breast cancer classification in histopathological images, offering a more efficient solution with reduced reliance on extensive annotated datasets. Our proposed model achieves an accuracy of 9 6 0 0% ± 0 4 8% for binary classification and 8 7 8 5% ± 0.93% for multiclass classification, which is comparable to state-of-the-art models while significantly reducing computational costs. This demonstrates the potential of our approach to improve breast cancer classification in histopathological images, offering a more efficient solution with reduced reliance on extensive annotated datasets. © 2024 IEEE.</t>
  </si>
  <si>
    <t>Cosine transforms; Discrete cosine transforms; Distribution transformers; Image annotation; Image enhancement; Medical imaging; Annotated datasets; Breast cancer classifications; Breast cancer detection; Computational costs; Computer aided diagnosis systems; Discrete cosines; Histopathological image analysis; Histopathological images; Learning methods; Medical image analysis; Frequency domain analysis</t>
  </si>
  <si>
    <t>2-s2.0-105000626612</t>
  </si>
  <si>
    <t>Tu, Shanshan (36642846800); Li, Wenlong (59282213400); Ai, Xin (59003898900); Li, Hongchen (59004516000); Yue, Qingqing (59004103800); Ur Rehman, Sadaqat (57203717555)</t>
  </si>
  <si>
    <t>36642846800; 59282213400; 59003898900; 59004516000; 59004103800; 57203717555</t>
  </si>
  <si>
    <t>10.1145/3638782.3638836</t>
  </si>
  <si>
    <t xml:space="preserve">It uses SqueezeNet 1.1 \cite{iandola2016squeezenet} (pre-trained on the ImageNet dataset) for feature extraction. Then it uses a GA and GWO for feature selection. Then it uses a k-nn for classification. </t>
  </si>
  <si>
    <t>ML, L, TA</t>
  </si>
  <si>
    <t>Transfer learning was used to avoid overfitting due to small datasets.</t>
  </si>
  <si>
    <t>\cite{laxmisagar2021design,laxmisagar2022detection}</t>
  </si>
  <si>
    <t>It uses a MobileNet to carry out feature extraction then a fully connected CNN carries out the detection.</t>
  </si>
  <si>
    <t>MS, VL, TA</t>
  </si>
  <si>
    <t>Stain removal techniques improve the performance of the system.</t>
  </si>
  <si>
    <t>It has low performance compared to SVM.</t>
  </si>
  <si>
    <t>LightXception contains only 35\% of Xception after the network's bottom layers and channels of convolution filters were removed.</t>
  </si>
  <si>
    <t>SS, VL, PA</t>
  </si>
  <si>
    <t>Attention Mechanism; Breast cancer; detection; ResNet</t>
  </si>
  <si>
    <t>Computer aided diagnosis; Deep learning; Diseases; Health care; Learning systems; Medical imaging; Transfer learning; Attention mechanisms; Breast Cancer; Breast cancer classifications; Breast cancer detection; Detection; Flexible model; Learning models; Resnet; ShuffleNets; Tumors</t>
  </si>
  <si>
    <t>Depth-wise separable convolution and inverted residuals reduce the degradation of accuracy.
Layer and filter pruning help LightXception achieve lightweight.</t>
  </si>
  <si>
    <t>2-s2.0-85191413740</t>
  </si>
  <si>
    <t>\cite{ahmad2021comparative}</t>
  </si>
  <si>
    <t>Chengxiao, Yan (58876476900); Zeng, Xiaoyang (15924506500); Xi, Rui (57194048421); Ahmed, Awais (57219685121); Hou, Mengshu (7201437359); Tunio, Muhammad Hanif (57216845687)</t>
  </si>
  <si>
    <t>They found that when augmented images are used in the training set, the average accuracy for MobileNet V1, ResNet50, and DenseNet201, improved by 5.5\%, 6.3\%, and 7.3\%, respectively.</t>
  </si>
  <si>
    <t>58876476900; 15924506500; 57194048421; 57219685121; 7201437359; 57216845687</t>
  </si>
  <si>
    <t>SS, VL, TA</t>
  </si>
  <si>
    <t xml:space="preserve">Data augmentation and a high number of epochs improve performance. </t>
  </si>
  <si>
    <t>Some authors consider ResNet50 as a heavyweight architecture \cite{abdelli2020combined}.</t>
  </si>
  <si>
    <t>Electronics (Switzerland)</t>
  </si>
  <si>
    <t>They combined BreakHis \cite{spanhol2015dataset} and Invasive Ductal Carcinoma (IDC) \cite{dimitropoulos2017grading} datasets into one by introducing a grade 0 class to represent benign cases.</t>
  </si>
  <si>
    <t>10.3390/electronics12244923</t>
  </si>
  <si>
    <t>Tests on ResNet50 and MobileNet show that the combined dataset improves performance.</t>
  </si>
  <si>
    <t>EffiDiag uses U-net to localize the Region of Interest (ROI) and lightweight CNN predicts BC.</t>
  </si>
  <si>
    <t>Localizing ROI help reduce the need for complex diagnostic ML.</t>
  </si>
  <si>
    <t>The CNN relies on the U-net to locate the correct ROI.</t>
  </si>
  <si>
    <t xml:space="preserve">It uses a pre-existing ResNet50 trained on Imagenet is used for mass detection, a VGG16 is used for false-positive reduction, and a contour refinement using technique \cite{cardoso2015closed}. </t>
  </si>
  <si>
    <t>MS, L</t>
  </si>
  <si>
    <t xml:space="preserve">A lightweight CNN with two Conv-2D layers and two fully connected layers. </t>
  </si>
  <si>
    <t>SS, VL</t>
  </si>
  <si>
    <t>Gene expression text to a 2D image helps develop an accurate, yet lightweight CNN.</t>
  </si>
  <si>
    <t>The system has poor F-measure and recall compared to SVM, AlexNet, and VGG16.</t>
  </si>
  <si>
    <t>The system locates the ROI using a random forest classifier, then a CNN filters out non-mitoses regions, and finally, the predictor stage uses CNN for classification.</t>
  </si>
  <si>
    <t xml:space="preserve">The multi-stage technique improves the accuracy of the CNN. </t>
  </si>
  <si>
    <t>The authors developed a two-stage convolutional neural network with PCSAM-Net for processing image patches and ResCBAM-Net for integrating them to classify full images.</t>
  </si>
  <si>
    <t>breast cancer classification; federated learning; Internet of Medical Things; lightweight; PLA; privacy-embedded</t>
  </si>
  <si>
    <t>MS, L, PA</t>
  </si>
  <si>
    <t>The use of tiling feature fusion method to optimize the fusion of patch-level feature maps in the PCSAM-Net.</t>
  </si>
  <si>
    <t>2-s2.0-85180677552</t>
  </si>
  <si>
    <t>The model may not extract high-dimensional features necessary for subtype classification or handling subtle differences.</t>
  </si>
  <si>
    <t>Pramanik, Rishav (57326000500); Pramanik, Payel (57216049967); Sarkar, Ram Krishna (13607482600)</t>
  </si>
  <si>
    <t>57326000500; 57216049967; 13607482600</t>
  </si>
  <si>
    <t xml:space="preserve">A self-attention-based convolutional neural network (CNN) designed for the identification of multiple diseases. It utilizes spatial pyramid pooling to unify multi-dimensional features and employs pairwise constraints to minimize intra-class variations while maximizing inter-class separations.   </t>
  </si>
  <si>
    <t>Reduced complexity compared to some edge devices architecture.</t>
  </si>
  <si>
    <t>10.1016/j.eswa.2023.119643</t>
  </si>
  <si>
    <t>The Authors developed a novel lightweight deep learning model with a user interface for breast cancer detection using fine needle aspiration cytology (FNAC) images.</t>
  </si>
  <si>
    <t>The integration of the model into a user-friendly Android application significantly enhances its practical utility.</t>
  </si>
  <si>
    <t>The authors propose BM-Net, which combines a bilinear structure and MobileNet-V3 for breast cancer analysis from whole slide images (WSIs). They apply data augmentation and focal loss to address class imbalance.</t>
  </si>
  <si>
    <t>SS, L, TA</t>
  </si>
  <si>
    <t>Reduced WSI analysis time from 30 minutes to 3.5 minutes.</t>
  </si>
  <si>
    <t>BM-Net may struggle with variability and differences in WSIs during production.</t>
  </si>
  <si>
    <t>The authors processes digital mammograms by extracting 1 cm² patches, applying two convolutional layers, followed by a global max pooling layer and a sigmoid classifier for binary classification.</t>
  </si>
  <si>
    <t>Replacing the flattening and fully connected layers with a Global Max Pooling Layer (GMPL),  performance remained consistent, while the number of parameters was significantly reduced.</t>
  </si>
  <si>
    <t>The evaluation is based on a limited dataset with heavy reliance on data augmentation, and the model is not tested on additional datasets.</t>
  </si>
  <si>
    <t>The authors designed a compact neural network tailored for ultrasound devices, utilizing knowledge distillation techniques. Additionally, they employed asynchronous calculations to distribute the computational burden across multiple ultrasound frames and optimized the network for deployment using OpenGL on low-power hardware</t>
  </si>
  <si>
    <t>SS, L, PA</t>
  </si>
  <si>
    <t>Breast cancer; Deep learning; Feature selection; Optimization algorithm; Thermal image</t>
  </si>
  <si>
    <t>The specificity of the light weight model outperformed the high precision model by 8%</t>
  </si>
  <si>
    <t>Sensitivity is compromised by 9%.</t>
  </si>
  <si>
    <t>Chaotic systems; Deep learning; Diagnosis; Diseases; Feature Selection; Learning systems; Medical imaging; Statistical tests; Thermography (temperature measurement); Breast Cancer; Breast cancer detection; Feature selection methods; Features selection; Gray wolves; Learning models; Optimization algorithms; Optimizers; Thermal images; Genetic algorithms</t>
  </si>
  <si>
    <t>2-s2.0-85147451303</t>
  </si>
  <si>
    <t>The authors used a transfer learning techniques  by combining the convolutional layers of a pre-trained VGG16 model with fine-tuned fully connected layers.</t>
  </si>
  <si>
    <t xml:space="preserve">The details of the model architecture and the number of parameters are not provided.  </t>
  </si>
  <si>
    <t>The authors designed a simple CNN architecture with input, flatten, output, and dense layers, incorporating dropout. The model is activated by ReLU and sigmoid functions, employing the Adam optimizer to adjust network parameters and the binary cross-entropy function as the loss function.</t>
  </si>
  <si>
    <t>SS, VL,TA</t>
  </si>
  <si>
    <t>High predicting accuracy.</t>
  </si>
  <si>
    <t xml:space="preserve">The details of the computational complexity of the model is not discussed, which is an important consideration for real-world deployment, especially on mobile devices. </t>
  </si>
  <si>
    <t>The authors performed preprocessing (noise removal, gamma correction, CLAHE) and photometric augmentation, then applied a 10-layer convolutional model with max-pooling for feature extraction and dimensionality reduction.</t>
  </si>
  <si>
    <t>The use of multiple preprocessing techniques.</t>
  </si>
  <si>
    <t>It has more parameters compared to most of the lightweight models.</t>
  </si>
  <si>
    <t>The model utilizes transfer learning techniques with a pre-trained VGG16.</t>
  </si>
  <si>
    <t>SS,VL,PA</t>
  </si>
  <si>
    <t>Deployment on devices like Raspberry Pi.</t>
  </si>
  <si>
    <t>The study integrated the MobileNet-V3 architecture with a Convolutional Block Attention Module (CBAM) to enhance feature extraction through dual-channel attention mechanisms and improve classification.</t>
  </si>
  <si>
    <t>SS, L</t>
  </si>
  <si>
    <t>Number of trainable parameters and the complexity is not specifically stated.</t>
  </si>
  <si>
    <t>The authors collected data from microwave-based textile antenna sensors using a 3-layer breast phantom model (skin, gland, and fat tissues), extracted S-parameters (reflection and transmission coefficients), preprocessed the data, and applied 8 ML algorithms for tumor classification, achieving a maximum accuracy of 98%.</t>
  </si>
  <si>
    <t>ML,L</t>
  </si>
  <si>
    <t>2-s2.0-85168921202</t>
  </si>
  <si>
    <t>Garg, Shankey (57208233637); Singh, Pradeep (55568517785)</t>
  </si>
  <si>
    <t>57208233637; 55568517785</t>
  </si>
  <si>
    <t>IEEE/ACM Transactions on Computational Biology and Bioinformatics</t>
  </si>
  <si>
    <t>10.1109/TCBB.2022.3174091</t>
  </si>
  <si>
    <t>classification; ensemble; lightweight model; Transfer learning</t>
  </si>
  <si>
    <t>Classification (of information); Classifiers; Deep learning; Diseases; Learning systems; Medical imaging; Breast Cancer; Computational modelling; Ensemble; Ensemble models; Features extraction; Lightweight model; Multi-class classification; Transfer learning; Computer architecture; machine learning; neoplasm; reproducibility; Machine Learning; Neoplasms; Neural Networks, Computer; Reproducibility of Results</t>
  </si>
  <si>
    <t>2-s2.0-85132534568</t>
  </si>
  <si>
    <t>Ruza, Nadiah (55670990300); Hussain, Saiful Izzuan (55670522900); Mohamed, Siti Kamariah Che (53881572300); Arzmi, Mohd Hafiz (56051420900)</t>
  </si>
  <si>
    <t>55670990300; 55670522900; 53881572300; 56051420900</t>
  </si>
  <si>
    <t>Revista Internacional de Metodos Numericos para Calculo y Diseno en Ingenieria</t>
  </si>
  <si>
    <t>10.23967/j.rimni.2023.08.002</t>
  </si>
  <si>
    <t>Breast Mass Classification; EfficientNet; Transfer Learning</t>
  </si>
  <si>
    <t>2-s2.0-85193588868</t>
  </si>
  <si>
    <t>Patel, Warish D. (56352392700); Koyuncu, Hakan (55655941400); Ganatara, Amit (59455317600)</t>
  </si>
  <si>
    <t>56352392700; 55655941400; 59455317600</t>
  </si>
  <si>
    <t>10.1109/MoSICom59118.2023.10458800</t>
  </si>
  <si>
    <t>Automated detection; Breast cancer diagnosis; Convolutional Neural Networks (CNN); Deep learning; VGG16 model</t>
  </si>
  <si>
    <t>Computer aided diagnosis; Convolution; Deep learning; Diseases; Image classification; Learning systems; Medical imaging; Transfer learning; Automated detection; Breast cancer diagnosis; Cancer diagnosis; Convolutional neural network; Histopathological images; Images classification; Learning models; VGG16 model; Convolutional neural networks</t>
  </si>
  <si>
    <t>2-s2.0-85190115921</t>
  </si>
  <si>
    <t>2-s2.0-85189982479</t>
  </si>
  <si>
    <t>10.1109/AICS60730.2023.10470496</t>
  </si>
  <si>
    <t>Breast Cancer; CADs; DBT Slice Selection; Gradient Magnitude; Information Entropy</t>
  </si>
  <si>
    <t>Deep learning; Diagnosis; Diseases; Learning systems; Magnetic resonance imaging; Breast Cancer; Breast cancer diagnosis; Breast cancer screening; Computational costs; DBT slice selection; Gradient magnitude; Information entropy; Learning models; Model development; Selection techniques; Medical imaging</t>
  </si>
  <si>
    <t>2-s2.0-85189939027</t>
  </si>
  <si>
    <t>Abdelmawgood, Zainab (58982280000); Abdalawy, Sara (58981165800); Mohamed, Habiba (59436509000); R Eldamak, Angie R. (36605921500); Fahmy, Omar M. (16315847600); Elshaekh, Dalia N. (36015041200)</t>
  </si>
  <si>
    <t>58982280000; 58981165800; 59436509000; 36605921500; 16315847600; 36015041200</t>
  </si>
  <si>
    <t>10.1109/MoSICom59118.2023.10458762</t>
  </si>
  <si>
    <t>breast cancer detection; smart bra; Textile antenna; tumor detection</t>
  </si>
  <si>
    <t>Diseases; Electromagnetic waves; Learning algorithms; Machine learning; Microwave antennas; Microwave sensors; Phantoms; Textiles; Wearable antennas; Antenna sensors; Artificial intelligence techniques; Breast cancer detection; Breast phantom; Detection system; Machine learning techniques; Model and simulation; Smart bra; Textile antennas; Tumour detection; Tumors</t>
  </si>
  <si>
    <t>2-s2.0-85189925974</t>
  </si>
  <si>
    <t>Gnanaprakash, V. (57205490641); Ali, Shoukath K. (57207944387); Preethi, D. (56595051800); Saranya, N. (57761192200); Nivetitha, R. K. (58939874900)</t>
  </si>
  <si>
    <t>57205490641; 57207944387; 56595051800; 57761192200; 58939874900</t>
  </si>
  <si>
    <t>10.1109/ICDSAAI59313.2023.10452524</t>
  </si>
  <si>
    <t>Benign; Breast Cancer; Convolutional Neural Networks; Malignant; Wisconsin Breast Cancer Dataset</t>
  </si>
  <si>
    <t>Cancer cells; Classification (of information); Convolution; Convolutional neural networks; Developing countries; Diseases; Neural network models; Benign; Breast Cancer; Breast cancer classifications; Convolutional neural network; Death rates; Late stage; Malignant; Neural network model; New case; Wisconsin breast cancer dataset; Tumors</t>
  </si>
  <si>
    <t>2-s2.0-85187778482</t>
  </si>
  <si>
    <t>Kausar, Tasleem (59636180900); Lu, Yun (57197729685); Kausar, Adeeba (57218676578)</t>
  </si>
  <si>
    <t>59636180900; 57197729685; 57218676578</t>
  </si>
  <si>
    <t>10.1109/ACCESS.2023.3326478</t>
  </si>
  <si>
    <t>Breast histopathology; convolution neural networks; inverted residual block; softmax; support vector machine; wavelet transform</t>
  </si>
  <si>
    <t>Classification (of information); Convolution; Diagnosis; Diseases; Medical imaging; Nearest neighbor search; Neural network models; Population statistics; Wavelet transforms; Breast Cancer; Breast histopathology; Computational modelling; Convolution neural network; Convolutional neural network; Features extraction; Histopathology; Inverted residual block; Softmax; Support vectors machine; Wavelets transform; Support vector machines</t>
  </si>
  <si>
    <t>2-s2.0-85176360213</t>
  </si>
  <si>
    <t>2-s2.0-85168135808</t>
  </si>
  <si>
    <t>675 LNNS</t>
  </si>
  <si>
    <t>2-s2.0-85164922761</t>
  </si>
  <si>
    <t>Wen, Ke (57205319529); Jin, Xu (57208453102); An, Hong (7202277376); He, Jie (57214005048); Wang, Jue (59646651400)</t>
  </si>
  <si>
    <t>57205319529; 57208453102; 7202277376; 57214005048; 59646651400</t>
  </si>
  <si>
    <t>Journal of Image and Graphics</t>
  </si>
  <si>
    <t>10.11834/jig.211207</t>
  </si>
  <si>
    <t>anchor point; breast cancer; centroid detection; Ki67 score; one-to-one label assignment</t>
  </si>
  <si>
    <t>2-s2.0-85162885117</t>
  </si>
  <si>
    <t>519 LNNS</t>
  </si>
  <si>
    <t>2-s2.0-85161397779</t>
  </si>
  <si>
    <t>Chaudhury, Sushovan (57301216200); Sau, Kartik (57200151370); Khan, Muhammad Attique (57222652080); Shabaz, Mohammad (57202955007)</t>
  </si>
  <si>
    <t>57301216200; 57200151370; 57222652080; 57202955007</t>
  </si>
  <si>
    <t>Mathematical Biosciences and Engineering</t>
  </si>
  <si>
    <t>10.3934/mbe.2023457</t>
  </si>
  <si>
    <t>classification; color activation mapping; FastAI; histology; transfer learning; tumor</t>
  </si>
  <si>
    <t>Cancer cells; Chemical activation; Deep learning; Diseases; Image enhancement; Learning systems; Mapping; Medical imaging; Network architecture; Tumors; Tuning; Activation mapping; AI techniques; Breast Cancer; Breast cancer detection; Color activation mapping; Effective approaches; Fastai; Fine tuning; Transfer learning; Histology; artificial neural network; breast tumor; deep learning; diagnostic imaging; female; human; pathology; Breast Neoplasms; Deep Learning; Female; Humans; Neural Networks, Computer</t>
  </si>
  <si>
    <t>2-s2.0-85152938328</t>
  </si>
  <si>
    <t>Patil, Abhijeet (57215861536); Diwakar, Harsh (58186409200); Sawant, Jay (58186080400); Kurian, Nikhil Cherian (57192096727); Yadav, Subhash C. (55859700700); Rane, Swapnil Ulhas (57211019383); Bameta, Tripti (55315385700); Sethi, Amit (12775689700)</t>
  </si>
  <si>
    <t>57215861536; 58186409200; 58186080400; 57192096727; 55859700700; 57211019383; 55315385700; 12775689700</t>
  </si>
  <si>
    <t>Journal of Pathology Informatics</t>
  </si>
  <si>
    <t>10.1016/j.jpi.2023.100306</t>
  </si>
  <si>
    <t>Generalization; Quality control; Weakly supervised learning; WSI pre-processing</t>
  </si>
  <si>
    <t>2-s2.0-85152659545</t>
  </si>
  <si>
    <t>Nneji, Grace Ugochi (57206902001); Monday, Happy Nkanta (57201671873); Mgbejime, Goodness Temofe (57311893400); Pathapati, Venkat Subramanyam R. (58077158500); Nahar, Saifun (57215928272); Ukwuoma, Chiagoziem Chima (57206891969)</t>
  </si>
  <si>
    <t>57206902001; 57201671873; 57311893400; 58077158500; 57215928272; 57206891969</t>
  </si>
  <si>
    <t>Diagnostics</t>
  </si>
  <si>
    <t>10.3390/diagnostics13020299</t>
  </si>
  <si>
    <t>breast cancer; CNN; deep learning; histopathological image; image identification; lightweight network</t>
  </si>
  <si>
    <t>contrast medium; Article; breast cancer; cancer diagnosis; contrast enhancement; convolutional neural network; data processing; edge detection; histopathology; human; lightweight separable convolution network; nonhuman</t>
  </si>
  <si>
    <t>2-s2.0-85146743965</t>
  </si>
  <si>
    <t>Shinde, Rupali Kiran (57207845054); Alam, Md Shahinur (57205751357); Hossain, Md Biddut (57462524500); Imtiaz, Shariar Md (57213601979); Kim, Joon-hyun (57347716000); Padwal, Anuja Anil (58055726600); Kim, Nam (35494120000)</t>
  </si>
  <si>
    <t>57207845054; 57205751357; 57462524500; 57213601979; 57347716000; 58055726600; 35494120000</t>
  </si>
  <si>
    <t>Cancers</t>
  </si>
  <si>
    <t>10.3390/cancers15010012</t>
  </si>
  <si>
    <t>AUC-ROC; deep learning; IoT; malignant; MobileNet; skin cancer detection; squeezed dataset; transfer learning</t>
  </si>
  <si>
    <t>Article; artificial intelligence; artificial neural network; breast cancer; cancer diagnosis; cancer model; cancer surgery; controlled study; convolutional neural network; human; image segmentation; machine learning; nerve cell network; raspberry; receiver operating characteristic; skin cancer; skin defect; transfer of learning; validation process</t>
  </si>
  <si>
    <t>2-s2.0-85145999195</t>
  </si>
  <si>
    <t>Singh, Sima (57208524762); Arshid, Numan (58023303900); Cinti, Stefano (54781233100)</t>
  </si>
  <si>
    <t>57208524762; 58023303900; 54781233100</t>
  </si>
  <si>
    <t>Biosensors and Bioelectronics</t>
  </si>
  <si>
    <t>10.1016/j.bios.2022.114635</t>
  </si>
  <si>
    <t>Cancer biomarkers; Electrochemical detection; Exosomes; Extracellular vesicle; Nanomaterials; On-site monitoring</t>
  </si>
  <si>
    <t>Chemical detection; Cancer biomarkers; Diagnostic tests; ELectrochemical detection; Electrochemicals; Exosomes; Extracellular; Extracellular vesicle; Nanobiosensor; On-site monitoring; Point of care; Nanostructured materials; cadmium sulfide; calcium carbonate; carbon nanoparticle; carbon quantum dot; circulating tumor DNA; gold nanoparticle; graphene; graphene quantum dot; magnetic nanoparticle; manganese oxide; metal nanoparticle; nanomaterial; polymer dot; quantum dot; tumor marker; unclassified drug; body fluid; breast cancer; cancer diagnosis; cancer prognosis; chemical structure; colorectal cancer; electrochemical detection; enzyme linked immunosorbent assay; erythrocyte; exosome; flow cytometry; human; immunomagnetic separation; limit of detection; lung cancer; machine learning; mass spectrometry; neutrophil; ovary cancer; point of care testing; precipitation; real time polymerase chain reaction; Review; structure analysis; tumor cell; ultracentrifugation; Western blotting; genetic procedures; neoplasm; point of care system; procedures; Biosensing Techniques; Extracellular Vesicles; Humans; Nanostructures; Neoplasms; Point-of-Care Systems</t>
  </si>
  <si>
    <t>2-s2.0-85138460701</t>
  </si>
  <si>
    <t>Huang, Jin (58837966500); Mei, Liye (57204005684); Long, Mengping (57210509982); Liu, Yiqiang (26643181500); Sun, Wei (56456955600); Li, Xiaoxiao (57202387155); Shen, Hui (57040237700); Zhou, Fuling (8362366700); Ruan, Xiaolan (56719092800); Wang, Du (57221864485); Wang, Shu (57196353461); Hu, Taobo (56727301900); Lei, Cheng (36246334900)</t>
  </si>
  <si>
    <t>58837966500; 57204005684; 57210509982; 26643181500; 56456955600; 57202387155; 57040237700; 8362366700; 56719092800; 57221864485; 57196353461; 56727301900; 36246334900</t>
  </si>
  <si>
    <t>10.3390/bioengineering9060261</t>
  </si>
  <si>
    <t>bilinear structure; breast cancer detection; lightweight; MobileNet-V3; whole slide image</t>
  </si>
  <si>
    <t>2-s2.0-85132930127</t>
  </si>
  <si>
    <t>Das, Rik Kamal Kumar (55557688600); Kaur, Kanwal Preet (56521042900); Walia, Ekta (16069673800)</t>
  </si>
  <si>
    <t>55557688600; 56521042900; 16069673800</t>
  </si>
  <si>
    <t>10.1007/s12539-022-00515-1</t>
  </si>
  <si>
    <t>Breast cancer; Computer-aided diagnosis; Feature engineering; Histopathological images; Representation learning</t>
  </si>
  <si>
    <t>breast tumor; computer assisted diagnosis; diagnostic imaging; female; human; Breast Neoplasms; Diagnosis, Computer-Assisted; Female; Humans; Neural Networks, Computer</t>
  </si>
  <si>
    <t>2-s2.0-85129147479</t>
  </si>
  <si>
    <t>Proceedings - International Conference on Computational Intelligence and Networks</t>
  </si>
  <si>
    <t>2-s2.0-85148874918</t>
  </si>
  <si>
    <t>2-s2.0-85143079638</t>
  </si>
  <si>
    <t>Kim, Shin (57737359400); Yoon, Kyoungro (8974611200)</t>
  </si>
  <si>
    <t>57737359400; 8974611200</t>
  </si>
  <si>
    <t>Journal of Mobile Multimedia</t>
  </si>
  <si>
    <t>10.13052/jmm1550-4646.18619</t>
  </si>
  <si>
    <t>BreakHis dataset; Breast cancer classification; Image classification; Lightweight network; Medical image</t>
  </si>
  <si>
    <t>2-s2.0-85139222990</t>
  </si>
  <si>
    <t>Laxmisagar, H. S. (57216771198); Hanumantharaju, M. C. (23984850600)</t>
  </si>
  <si>
    <t>57216771198; 23984850600</t>
  </si>
  <si>
    <t>Critical Reviews in Biomedical Engineering</t>
  </si>
  <si>
    <t>10.1615/CritRevBiomedEng.2022043417</t>
  </si>
  <si>
    <t>Biopsy; Classification (of information); Computer aided diagnosis; Convolution; Convolutional neural networks; Deep neural networks; Diseases; Field programmable gate arrays (FPGA); Image enhancement; Medical imaging; Statistical tests; Breast Cancer; Class A; Computer assisted diagnostics; Convolutional neural network; Diagnostic methods; Haematoxylin; Histology images; Histopathological images; Images classification; Microscopic image; Image classification; Article; breast cancer; breast carcinoma in situ; cancer classification; cancer diagnosis; convolutional neural network; deep neural network; diagnostic accuracy; feature extraction; female; histopathology; human; invasive breast cancer; optical density; singular value decomposition; support vector machine; transfer of learning; breast tumor; diagnostic imaging; machine learning; eosin; hematoxylin; Breast Neoplasms; Eosine Yellowish-(YS); Female; Hematoxylin; Humans; Machine Learning; Neural Networks, Computer</t>
  </si>
  <si>
    <t>2-s2.0-85138239272</t>
  </si>
  <si>
    <t>Chavan, Trupti R. (56592837200); Prajapati, Kalpesh (57217177596); Jv, Kameshwar Rao (57821098100)</t>
  </si>
  <si>
    <t>56592837200; 57217177596; 57821098100</t>
  </si>
  <si>
    <t>13263 LNAI</t>
  </si>
  <si>
    <t>10.1007/978-3-031-09342-5_27</t>
  </si>
  <si>
    <t>Breast tumor detection; Convolutional neural networks; Involution; InvUNET; UNET</t>
  </si>
  <si>
    <t>Deep learning; Diagnosis; Diseases; Medical imaging; Tumors; Ultrasonic applications; Breast Cancer; Breast tumor detection; Breast tumour; Cancerous tumors; Convolutional neural network; Health condition; Involuted UNET; Involution; Tumor segmentation; UNET; Convolutional neural networks</t>
  </si>
  <si>
    <t>2-s2.0-85135043192</t>
  </si>
  <si>
    <t>13264 LNCS</t>
  </si>
  <si>
    <t>2-s2.0-85133002409</t>
  </si>
  <si>
    <t>Althobaiti, Maha M. (55968101000); Ashour, Amal Adnan (57200703409); Alhindi, Nada A. (57191062944); Althobaiti, Asim (57687339800); Mansour, R. F. (36960713000); Gupta, Deepak Kumar (56985108600); Khanna, Ashish (34968180100)</t>
  </si>
  <si>
    <t>55968101000; 57200703409; 57191062944; 57687339800; 36960713000; 56985108600; 34968180100</t>
  </si>
  <si>
    <t>BioMed Research International</t>
  </si>
  <si>
    <t>10.1155/2022/3714422</t>
  </si>
  <si>
    <t>Article; benchmarking; benign breast tumor; breast cancer; cancer classification; cancer diagnosis; controlled study; deep learning; echomammography; feature extraction; image processing; image segmentation; intermethod comparison; k nearest neighbor; linear support vector machine; measurement accuracy; multimodal imaging; noise reduction; photoacoustics; process optimization; recurrent neural network; residual neural network; transfer of learning; uncertainty; validation process; breast tumor; diagnostic imaging; echography; female; human; machine learning; spectroscopy; Breast Neoplasms; Female; Humans; Machine Learning; Neural Networks, Computer; Spectrum Analysis; Ultrasonography</t>
  </si>
  <si>
    <t>Retracted</t>
  </si>
  <si>
    <t>2-s2.0-85130057030</t>
  </si>
  <si>
    <t>1546 CCIS</t>
  </si>
  <si>
    <t>2-s2.0-85124670761</t>
  </si>
  <si>
    <t>Zahir, Shahirah (57197943244); Amir, Amiza (36170326400); Zahri, N. A.H. (57191919794); Ang, Wecheng (57222349510)</t>
  </si>
  <si>
    <t>57197943244; 36170326400; 57191919794; 57222349510</t>
  </si>
  <si>
    <t>Journal of Physics: Conference Series</t>
  </si>
  <si>
    <t>10.1088/1742-6596/1755/1/012026</t>
  </si>
  <si>
    <t>UA</t>
  </si>
  <si>
    <t>Convolutional neural networks; Diseases; Internet of things; Learning systems; Medical imaging; Transfer learning; Breast cancer detection; Breast cancer diagnosis; Delayed diagnosis; Histopathological images; Learning models; Manual examination; Microscopic image; Model efficiency; Deep learning</t>
  </si>
  <si>
    <t>2-s2.0-85102409958</t>
  </si>
  <si>
    <t>Moussa, Maria N. (57193718090); Madi, Mervat Akram (48662518900); Kabalan, Karim Y. (7006960314)</t>
  </si>
  <si>
    <t>57193718090; 48662518900; 7006960314</t>
  </si>
  <si>
    <t>10.1109/ICECET52533.2021.9698733</t>
  </si>
  <si>
    <t>Breast Cancer detection; Gain; Miniature size antenna; Reflection coefficient</t>
  </si>
  <si>
    <t>Diseases; Electric network analyzers; Etching; Fractals; Partial discharges; Breast cancer detection; Breast tumour; Detection approach; Early cancer detection; FR4 substrates; Fractal antenna; Gain; Impedance matchings; Miniature size antenna; Survival rate; Microwave antennas</t>
  </si>
  <si>
    <t>2-s2.0-85126741088</t>
  </si>
  <si>
    <t>Ahmad, Bilal (57231949400); Sun, Jun (57603856600); Li, Jinxing (57468941300); Lidan, Bai (57468638000)</t>
  </si>
  <si>
    <t>57231949400; 57603856600; 57468941300; 57468638000</t>
  </si>
  <si>
    <t>10.1109/ICCIS54243.2021.9676187</t>
  </si>
  <si>
    <t>AI; Artificial Intelligence; Breast Cancer; CNN; Convolutional Neural Networks; Deep Learning; HE Images; Histopathological Images; Lymph Node Metastases</t>
  </si>
  <si>
    <t>Deep learning; Diseases; Image enhancement; Medical imaging; Pathology; Automatic Detection; Breast Cancer; CNN; Comparatives studies; Convolutional neural network; HE image; Histopathological images; Learning models; Lymph node metastasis; Convolutional neural networks</t>
  </si>
  <si>
    <t>2-s2.0-85125349633</t>
  </si>
  <si>
    <t>2-s2.0-85097683791</t>
  </si>
  <si>
    <t>2-s2.0-85096498383</t>
  </si>
  <si>
    <t>Advances in Intelligent Systems and Computing</t>
  </si>
  <si>
    <t>10.1007/978-981-15-5566-4_40</t>
  </si>
  <si>
    <t>Benign; Biopsy; Breast cancer; CAD; FNA; Google Colab; GPU; In situ; Invasive; MobileNet</t>
  </si>
  <si>
    <t>Biopsy; Computer aided diagnosis; Deep learning; Deep neural networks; Diseases; Histology; Image classification; Intelligent computing; Medical imaging; Computer aided detection; Confusion matrices; Convolution neural network; Learning techniques; Microscopic image; Multi-level classifications; Prediction accuracy; Staining techniques; Neural networks</t>
  </si>
  <si>
    <t>2-s2.0-85092725831</t>
  </si>
  <si>
    <t>Liu, Shuyan (59284566200); Ren, Junda (57219231681); Chen, Zhineng (36170296000); Hu, Kai (36767441300); Xiao, Fen (9233047500); Li, Xuanya (57216765628); Gao, Xieping (8961276300)</t>
  </si>
  <si>
    <t>59284566200; 57219231681; 36170296000; 36767441300; 9233047500; 57216765628; 8961276300</t>
  </si>
  <si>
    <t>10.1109/BIBM49941.2020.9313511</t>
  </si>
  <si>
    <t>Breast cancer; computer-aided diagnosis; lightweight CNN; ROI detection; whole slide image</t>
  </si>
  <si>
    <t>Bioinformatics; Convolutional neural networks; Diseases; Grading; Image segmentation; Medical imaging; Pixels; WSI circuits; Breast cancer diagnosis; Clinical practices; Computational burden; Patch based; Region of interest; Resource consumption; Whole slide images; Computer aided diagnosis</t>
  </si>
  <si>
    <t>2-s2.0-85100334328</t>
  </si>
  <si>
    <t>Abdelli, Adel (57216687261); Saouli, Rachida (57188876060); Djemal, Khalifa (14821991200); Youkana, Imane (57188860597)</t>
  </si>
  <si>
    <t>57216687261; 57188876060; 14821991200; 57188860597</t>
  </si>
  <si>
    <t>10.1109/IPTA50016.2020.9286653</t>
  </si>
  <si>
    <t>breast cancer grades; convolutional neural networks; histological images; histological magnification factors</t>
  </si>
  <si>
    <t>Classification (of information); Computer aided diagnosis; Convolutional neural networks; Deep learning; Diseases; Grading; Learning algorithms; Network architecture; Textures; Tumors; Breast cancer grading; Complex objects; Computer Aided Diagnosis(CAD); Histological images; Magnification factors; Medical systems; Over fitting problem; State of the art; Medical imaging</t>
  </si>
  <si>
    <t>2-s2.0-85099272967</t>
  </si>
  <si>
    <t>Koma’rudin, Nur’Atika (57219305087); Zakaria, Zahriladha Bin (57200421590); Soh, Ping Jack (56456741800); Lago, Herwansyah Bin (55575524700); Alsariera, Hussein (57212865439); Hassan, Nornikman (57202879891)</t>
  </si>
  <si>
    <t>57219305087; 57200421590; 56456741800; 55575524700; 57212865439; 57202879891</t>
  </si>
  <si>
    <t>International Journal on Communications Antenna and Propagation</t>
  </si>
  <si>
    <t>10.15866/irecap.v10i4.18560</t>
  </si>
  <si>
    <t>Breast cancer; Directional; Microwave imaging; Non-invasive; Radiator</t>
  </si>
  <si>
    <t>2-s2.0-85092131911</t>
  </si>
  <si>
    <t>Zhang, Xuesheng (57211317826); Lin, Xiaona (57213000492); Zhang, Zihao (57211250828); Dong, Licong (57191479708); Sun, Xinlong (57217170146); Sun, Dengsheng (15059439500); Yuan, Kehong (10240004000)</t>
  </si>
  <si>
    <t>57211317826; 57213000492; 57211250828; 57191479708; 57217170146; 15059439500; 10240004000</t>
  </si>
  <si>
    <t>Ultrasonic Imaging</t>
  </si>
  <si>
    <t>10.1177/0161734620928453</t>
  </si>
  <si>
    <t>Lat.</t>
  </si>
  <si>
    <t>Acc.</t>
  </si>
  <si>
    <t>artificial intelligence algorithm; breast lesions; knowledge distillation; lightweight neural network; medical ultrasound equipment; real-time detection</t>
  </si>
  <si>
    <t>Deep learning; Diseases; Distillation; Distilleries; Learning algorithms; Medical computing; Ultrasonic applications; Ultrasonic equipment; Artificial intelligence algorithms; Automatic Detection; Computation power; Computational capability; Detection performance; Frames per seconds; Intelligent equipment; Medical ultrasound; Neural networks</t>
  </si>
  <si>
    <t>Prec.</t>
  </si>
  <si>
    <t>2-s2.0-85086567155</t>
  </si>
  <si>
    <t>Recall</t>
  </si>
  <si>
    <t>Sanghavi, Foram M. (57191539144); Kezebou, Landry (57216157985); Panetta, Karen A. (6507727793); Agaian, Sos S. (35321805400)</t>
  </si>
  <si>
    <t>57191539144; 57216157985; 6507727793; 35321805400</t>
  </si>
  <si>
    <t>Proceedings of SPIE - The International Society for Optical Engineering</t>
  </si>
  <si>
    <t>113990Q</t>
  </si>
  <si>
    <t>F-test</t>
  </si>
  <si>
    <t>10.1117/12.2558613</t>
  </si>
  <si>
    <t>BreakHis; Breast cancer; Cancer detection; Fibonacci; Machine learning for cancer classification</t>
  </si>
  <si>
    <t>Deep learning; Diagnosis; Diseases; Large dataset; Turing machines; American Cancer Society; Breast cancer classifications; Breast cancer detection; Early cancer detection; Learning-based methods; Machine learning classification; Medical practitioner; World Health Organization; Learning systems</t>
  </si>
  <si>
    <t>2-s2.0-85096352764</t>
  </si>
  <si>
    <t>Roslidar, Roslidar (57200206510); Rahman, Aulia (57209491327); Muharar, Rusdha (37085406000); Syahputra, Muhammad Rizky (57217991624); Arnia, Fitri (14027791000); Syukri, Maimun (58566129800); Pradhan, Biswajeet K. (12753037900); Munadi, Khairul (6508326697)</t>
  </si>
  <si>
    <t>57200206510; 57209491327; 37085406000; 57217991624; 14027791000; 58566129800; 12753037900; 6508326697</t>
  </si>
  <si>
    <t>10.1109/ACCESS.2020.3004056</t>
  </si>
  <si>
    <t>Breast cancer; convolutional neural network; deep learning; early detection; thermogram</t>
  </si>
  <si>
    <t>Classification (of information); Convolutional neural networks; Deep neural networks; Diagnosis; Diseases; Image enhancement; Learning systems; Medical imaging; Temperature measuring instruments; Thermography (imaging); Thermography (temperature measurement); Breast cancer detection; Breast cancer screening; Early breast cancer; Future research directions; Learning approach; Publicly accessible; Screening methods; Simulation example; Deep learning</t>
  </si>
  <si>
    <t>2-s2.0-85087800211</t>
  </si>
  <si>
    <t>Taruno, Kanae (55622452300); Kurita, Tomoko (14066272700); Kuwahata, Akihiro (7801324463); Yanagihara, Keiko (36845893200); Enokido, Katsutoshi (36343193100); Katayose, Yoshihisa (7003436268); Nakamura, Seigo (55318276500); Takei, Hiroyuki (7202068713); Sekino, Masaki (7003900770); Kusakabe, Moriaki (7102300198)</t>
  </si>
  <si>
    <t>55622452300; 14066272700; 7801324463; 36845893200; 36343193100; 7003436268; 55318276500; 7202068713; 7003900770; 7102300198</t>
  </si>
  <si>
    <t>Journal of Surgical Oncology</t>
  </si>
  <si>
    <t>10.1002/jso.25747</t>
  </si>
  <si>
    <t>breast cancer; magnetic probe; sentinel lymph node biopsy; superparamagnetic iron oxide</t>
  </si>
  <si>
    <t>ferucarbotran; phytate tc 99m; coloring agent; contrast medium; dextran; ferric ion; ferric oxide; indigo carmine; magnetite nanoparticle; radiopharmaceutical agent; superparamagnetic iron oxide; adult; aged; Article; breast cancer; female; human; major clinical study; multicenter study; priority journal; prospective study; sentinel lymph node biopsy; skin pigmentation; breast tumor; clinical trial; devices; magnetometry; middle aged; pathology; procedures; sentinel lymph node; very elderly; Adult; Aged; Aged, 80 and over; Breast Neoplasms; Coloring Agents; Contrast Media; Dextrans; Female; Ferric Compounds; Humans; Indigo Carmine; Magnetite Nanoparticles; Magnetometry; Middle Aged; Prospective Studies; Radiopharmaceuticals; Sentinel Lymph Node; Sentinel Lymph Node Biopsy</t>
  </si>
  <si>
    <t>2-s2.0-85074788048</t>
  </si>
  <si>
    <t>Nandhini, V. L. (59008018100); Roy, Sandip Kumar (57189185238); Babu, K. Suresh (7102427414)</t>
  </si>
  <si>
    <t>59008018100; 57189185238; 7102427414</t>
  </si>
  <si>
    <t>International Journal of Innovative Technology and Exploring Engineering</t>
  </si>
  <si>
    <t>6 Special Issue 4</t>
  </si>
  <si>
    <t>10.35940/ijitee.F1274.0486S419</t>
  </si>
  <si>
    <t>Biosensor; Dielectric Interface; Malignant; Photonic Crystal; Plasmonic; Refractive Index; Surface Plasmon Resonance</t>
  </si>
  <si>
    <t>2-s2.0-85071679965</t>
  </si>
  <si>
    <t>Elbashir, Murtada Khalafallah (36702592300); Ezz, Mohamed M. (25929128000); Mohammed, Mohanad (57204861122); Saloum, Said S. (57213689594)</t>
  </si>
  <si>
    <t>36702592300; 25929128000; 57204861122; 57213689594</t>
  </si>
  <si>
    <t>10.1109/ACCESS.2019.2960722</t>
  </si>
  <si>
    <t>TP value is when the threshold (T) value for the first stage detector is 0.6</t>
  </si>
  <si>
    <t>It breaks detection into localization, filtration, and detection stages to improve the accuracy of the CNN. However, this will increase the system's latency.</t>
  </si>
  <si>
    <t>convolutional neural network; edge detection; gene expression; RNA-Seq; Tumor type classification</t>
  </si>
  <si>
    <t>Classification (of information); Convolution; Deep neural networks; Diseases; Edge detection; Network architecture; Neural networks; RNA; Breast cancer classifications; Cancer classification; Convolutional neural network; Gene Expression Data; Intensity correlation; Normalization process; State-of-the-art performance; Type classifications; Gene expression</t>
  </si>
  <si>
    <t>2-s2.0-85077964825</t>
  </si>
  <si>
    <t>Oliveira, Hugo S. (57214550108); Teixeira, João F. (56768912200); Oliveira, Hélder P. (23390156200)</t>
  </si>
  <si>
    <t>57214550108; 56768912200; 23390156200</t>
  </si>
  <si>
    <t>11752 LNCS</t>
  </si>
  <si>
    <t>10.1007/978-3-030-30645-8_64</t>
  </si>
  <si>
    <t>Classification; Deep learning; Lesion detection; Segmentation</t>
  </si>
  <si>
    <t>Classification (of information); Image analysis; Image segmentation; Large dataset; Mammography; Medical imaging; Neural networks; Pipelines; X ray screens; Automatic diagnosis; Cascade configuration; Classification methods; Contour refinements; Convolutional neural network; False-positive reduction; Lesion detection; Multi-class classification; Deep learning</t>
  </si>
  <si>
    <t>2-s2.0-85072901730</t>
  </si>
  <si>
    <t>2-s2.0-85065909723</t>
  </si>
  <si>
    <t>Alam, Mohammad Wajih (57192424241); Wahid, Khan Arif (6603497112); Goel, Raghuveera Kumar (55919627600); Lukong, Kiven Erique (6603223735)</t>
  </si>
  <si>
    <t>57192424241; 6603497112; 55919627600; 6603223735</t>
  </si>
  <si>
    <t>Biomedical Optics Express</t>
  </si>
  <si>
    <t>10.1364/BOE.10.000399</t>
  </si>
  <si>
    <t>3D printers; Biomedical signal processing; Cell culture; Costs; Diseases; Fluorescence imaging; Fluorescence microscopy; Fluorometers; Mammals; Proteins; Signal detection; Breast cancer cells; Clinical researchers; Excitation sources; Fluorescence detection; Fluorescence signals; Green fluorescent protein; Portable fluorometer; Selective detection; Cells; green fluorescent protein; Article; breast cancer; breast cancer cell line; chromatophore; controlled study; cost effectiveness analysis; diagnostic accuracy; diagnostic procedure; electronic circular dichroism; equipment design; excitation; fluorescence; fluorescence imaging; fluorescence microscopy; human; human cell; immortalized cell line; MDA-MB-231 cell line; reproducibility; sensitivity and specificity; three dimensional printing</t>
  </si>
  <si>
    <t>2-s2.0-85061546246</t>
  </si>
  <si>
    <t>Li, Yuguang (57203518178); Mercan, Ezgi (55903898800); Knezevitch, Stevan (57203514308); Elmore, Joann G. (7005693005); Shapiro, Linda G. (7402091493)</t>
  </si>
  <si>
    <t>57203518178; 55903898800; 57203514308; 7005693005; 7402091493</t>
  </si>
  <si>
    <t>10.5220/0006550700690077</t>
  </si>
  <si>
    <t>Automated Mitosis Detection; Breast Pathology; Convolutional Neural Networks; Histopathological Image Analysis</t>
  </si>
  <si>
    <t>Diseases; Grading; Medical imaging; Network layers; Neural networks; Program processors; Accuracy measures; Breast Cancer; Convolutional neural network; Feature based approaches; Feature-based; Mitosis detections; Standard machines; Whole slide images; Pattern recognition</t>
  </si>
  <si>
    <t>2-s2.0-85052023801</t>
  </si>
  <si>
    <t>Li, Jichun (36246267800); Liu, Hongbin (55719408400); Brown, Matthew (56972418900); Kumar, Pardeep (56323214500); Challacombe, Ben J. (6602585951); Chandra, Ashish (12783068900); Rottenberg, Giles T. (6701518117); Seneviratne, Lakmal D. (7006006173); Althoefer, K. A. (6701489118); Dasgupta, Prokar (7201405986)</t>
  </si>
  <si>
    <t>36246267800; 55719408400; 56972418900; 56323214500; 6602585951; 12783068900; 6701518117; 7006006173; 6701489118; 7201405986</t>
  </si>
  <si>
    <t>Medical Engineering and Physics</t>
  </si>
  <si>
    <t>10.1016/j.medengphy.2017.01.021</t>
  </si>
  <si>
    <t>Robotic minimally invasive surgery; Rolling mechanical imaging; Wheeled probe</t>
  </si>
  <si>
    <t>Biopsy; Diagnosis; Diseases; Magnetic resonance imaging; Manipulators; Probes; Risk assessment; Robotics; Surgery; Tissue; Tumors; Ultrasonic applications; Urology; Breast cancer screening; Continuous measurements; Detection and quantifications; Mechanical imaging; Minimally invasive surgery; Radical prostatectomy; Stiffness distributions; Transrectal ultrasound; Robotic surgery; prostate specific antigen; adult; Article; cancer localization; cancer screening; cancer staging; clinical article; controlled study; diagnostic accuracy; diagnostic imaging; diagnostic test accuracy study; digital rectal examination; elasticity; ex vivo study; Gleason score; histopathology; human; human tissue; image guided biopsy; imaging phantom; imaging system; intermethod comparison; male; middle aged; minimally invasive surgery; nanosensor; nuclear magnetic resonance imaging; predictive value; prostate biopsy; prostate cancer; prostatectomy; risk assessment; robot assisted surgery; robotics; rolling mechanical imaging; rolling mechanical imaging device; sensitivity and specificity; transrectal ultrasonography; biomechanics; biopsy; echography; mechanics; pathology; prostate tumor; Biomechanical Phenomena; Digital Rectal Examination; Humans; Magnetic Resonance Imaging; Male; Mechanical Phenomena; Middle Aged; Minimally Invasive Surgical Procedures; Prostatic Neoplasms; Ultrasonography</t>
  </si>
  <si>
    <t>2-s2.0-85013215035</t>
  </si>
  <si>
    <t>2-s2.0-84964444601</t>
  </si>
  <si>
    <t>Advanced Materials Research</t>
  </si>
  <si>
    <t>2-s2.0-84884785762</t>
  </si>
  <si>
    <t>Type</t>
  </si>
  <si>
    <t>Description</t>
  </si>
  <si>
    <t>Thermal images BC patients.</t>
  </si>
  <si>
    <t>Microscopic images of breast tumor tissue.</t>
  </si>
  <si>
    <t>\cite{laxmisagar2022detection}, \cite{laxmisagar2021design}</t>
  </si>
  <si>
    <t>2022, 2021</t>
  </si>
  <si>
    <t>Hematoxylin and eosin (H\&amp;E) stained breast histology microscopy and whole-slide images.</t>
  </si>
  <si>
    <t>IDC dataset contains whole-mount slide images of BC specimens scanned at 40x.</t>
  </si>
  <si>
    <t>H\&amp;E whole-slide images of lymph nodes, with metastatic regions labeled.</t>
  </si>
  <si>
    <t>RNA-Seq Gene Expression Data.</t>
  </si>
  <si>
    <t>It contains full-field digital mammograms (in opposition to digitized mammograms) that contain several lesions (masses, calcifications, asymmetries, and distortions).</t>
  </si>
  <si>
    <t>It contains images of H and E stained slides of breast cancer for mitosis detection.</t>
  </si>
  <si>
    <t xml:space="preserve">BACH  </t>
  </si>
  <si>
    <t xml:space="preserve">CBIS-DDSM </t>
  </si>
  <si>
    <t>MIAS</t>
  </si>
  <si>
    <t>\cite{garg2022transfer}</t>
  </si>
  <si>
    <t xml:space="preserve">MobileNetV2 + CNN </t>
  </si>
  <si>
    <t>IDC</t>
  </si>
  <si>
    <t xml:space="preserve">BreakHis </t>
  </si>
  <si>
    <t>MobileNetV2 + CNN</t>
  </si>
  <si>
    <t>\cite{yan2023pla}</t>
  </si>
  <si>
    <t>MobileViT6</t>
  </si>
  <si>
    <t>\cite{nneji2023lightweight}</t>
  </si>
  <si>
    <t>Separable CNN</t>
  </si>
  <si>
    <t>BreaKHis</t>
  </si>
  <si>
    <t>\cite{kausar2023breast}</t>
  </si>
  <si>
    <t xml:space="preserve"> Deep CNN + Separable Convolution</t>
  </si>
  <si>
    <t>ICIAR</t>
  </si>
  <si>
    <t>Brac</t>
  </si>
  <si>
    <t>\cite{chaudhury2023deep}</t>
  </si>
  <si>
    <t>SqueezeNet7</t>
  </si>
  <si>
    <t>\cite{ashraf2024enhancing}</t>
  </si>
  <si>
    <t>ResNet50 + Inception Module5</t>
  </si>
  <si>
    <t>ref</t>
  </si>
  <si>
    <t>year</t>
  </si>
  <si>
    <t>Latency(s)</t>
  </si>
  <si>
    <t>F1</t>
  </si>
  <si>
    <t>Params</t>
  </si>
  <si>
    <t>GFLOPS, Memory</t>
  </si>
  <si>
    <t>Inf.Time(s)</t>
  </si>
  <si>
    <t>.LIghtweight category</t>
  </si>
  <si>
    <t>Tags</t>
  </si>
  <si>
    <t>\cite{modu2025development}</t>
  </si>
  <si>
    <t>KD student + TFLite
Pruned teacher + TFLite
Quantized teacher (PTQ) + TFLite
Quantized teacher (INT8 PTQ) + TFLite</t>
  </si>
  <si>
    <t>WDBC
WDBC
WDBC
WDBC</t>
  </si>
  <si>
    <t>0.00335 Pi 4B
0.01368 Pi 4B
0.00507 PI 4B
0.00410 Pi 4B</t>
  </si>
  <si>
    <t>97.67
90.70
96.51
94.19</t>
  </si>
  <si>
    <t>5.21 kB
2924.31 kB
746.59 kB
750.69 kB</t>
  </si>
  <si>
    <t>0.0033
-
-
-</t>
  </si>
  <si>
    <t xml:space="preserve">
Hybrid (c1,c2,c3)</t>
  </si>
  <si>
    <t>TAB, KD, IT, M
TAB, M
TAB, M
TAB, M</t>
  </si>
  <si>
    <t>\cite{diagnostics13020299}</t>
  </si>
  <si>
    <t>Separable + factorized conv+ bottlenecks</t>
  </si>
  <si>
    <t>breakHis(Bin) 40x
breakHis(multi) 40x</t>
  </si>
  <si>
    <t>93.12
97.23</t>
  </si>
  <si>
    <t>93.34
98.11</t>
  </si>
  <si>
    <t>94.07
97.93</t>
  </si>
  <si>
    <t>93.61
97.71</t>
  </si>
  <si>
    <t>94.21
98.02</t>
  </si>
  <si>
    <t>A1</t>
  </si>
  <si>
    <t>CLS</t>
  </si>
  <si>
    <t>\cite{tanim2024breast}</t>
  </si>
  <si>
    <t>MLP + XAI</t>
  </si>
  <si>
    <t>WDBC</t>
  </si>
  <si>
    <t>TAB</t>
  </si>
  <si>
    <t>\cite{chen2025yolomafs}</t>
  </si>
  <si>
    <t xml:space="preserve">YOLOv11-seg with lightweight modules </t>
  </si>
  <si>
    <t>BUS-BRA (benign)
BUS-BRA (malignant)
BUS-BRA (all)
BUSI (all, cross-domain)</t>
  </si>
  <si>
    <t>0.843†
0.852†
0.852†
0.815†</t>
  </si>
  <si>
    <t xml:space="preserve">0.575†
0.578†
0.578†
</t>
  </si>
  <si>
    <t>3.86M</t>
  </si>
  <si>
    <t>10.9 GFLOPs, -</t>
  </si>
  <si>
    <t>DET, P, F</t>
  </si>
  <si>
    <t>\cite{rai2025lightweightunet}</t>
  </si>
  <si>
    <t>DSConv + StyleGAN3 augmentation</t>
  </si>
  <si>
    <t>MGI+USI (Real)
MGI+USI (Real+GAN)</t>
  </si>
  <si>
    <t>86.87
96.35</t>
  </si>
  <si>
    <t>87.16
96.36</t>
  </si>
  <si>
    <t>86.84
96.35</t>
  </si>
  <si>
    <t>\cite{wang2025mm}</t>
  </si>
  <si>
    <t>3D depthwise separable conv + CEC/IRB + aux classifier</t>
  </si>
  <si>
    <t>DCE-MRI</t>
  </si>
  <si>
    <t>89.91‡</t>
  </si>
  <si>
    <t>94.69‡</t>
  </si>
  <si>
    <t>0.34M</t>
  </si>
  <si>
    <t>42.40 GFLOPs, -</t>
  </si>
  <si>
    <t>\cite{li2025lightweight}</t>
  </si>
  <si>
    <t>Enhaced YOLOv8 variant</t>
  </si>
  <si>
    <t>BUSI
BUET</t>
  </si>
  <si>
    <t>91.6†
83.3†</t>
  </si>
  <si>
    <t xml:space="preserve">
86.9
89.5</t>
  </si>
  <si>
    <t xml:space="preserve">
88.0
82.6</t>
  </si>
  <si>
    <t>2.2M</t>
  </si>
  <si>
    <t>6.3 GFLOPs, -</t>
  </si>
  <si>
    <t>DET, IT, P, F</t>
  </si>
  <si>
    <t>\cite{ramya2026explainable}</t>
  </si>
  <si>
    <t xml:space="preserve">U-Net-R-SE  + CN-BSLO </t>
  </si>
  <si>
    <t>BUSI
BUS-UCLM</t>
  </si>
  <si>
    <t>99.24
99.31</t>
  </si>
  <si>
    <t>99.34
99.14</t>
  </si>
  <si>
    <t>99.30
99.21</t>
  </si>
  <si>
    <t>99.20
99.31</t>
  </si>
  <si>
    <t>0.987
0.982</t>
  </si>
  <si>
    <t>-, -</t>
  </si>
  <si>
    <t>CLS, SEG</t>
  </si>
  <si>
    <t>\cite{tang2025multilight}</t>
  </si>
  <si>
    <t>Multi-light Net (front + L45 + R45) + WLSR</t>
  </si>
  <si>
    <t>Modality</t>
  </si>
  <si>
    <t>0.22M</t>
  </si>
  <si>
    <t>192.16 MAdd, -</t>
  </si>
  <si>
    <t>CLS, P</t>
  </si>
  <si>
    <t>\cite{liu2025ae}</t>
  </si>
  <si>
    <t xml:space="preserve">enhanced YOLOv8 </t>
  </si>
  <si>
    <t>DDSM+MIAS
INbreast(cross dataset)</t>
  </si>
  <si>
    <t>0.849†
0.746†</t>
  </si>
  <si>
    <t>0.850
0.787</t>
  </si>
  <si>
    <t>0.772
0.732</t>
  </si>
  <si>
    <t>0.809
0.759</t>
  </si>
  <si>
    <t>8M</t>
  </si>
  <si>
    <t>10.9, -</t>
  </si>
  <si>
    <t>DET, P, F, cross-dataset testing on INbreast</t>
  </si>
  <si>
    <t>\cite{yu2025biacandet}</t>
  </si>
  <si>
    <t>Space-time attention network</t>
  </si>
  <si>
    <t>BIABC</t>
  </si>
  <si>
    <t>0.04506 System
0.274 Pi 4B
0.114 Jetson</t>
  </si>
  <si>
    <t>0.20M</t>
  </si>
  <si>
    <t>-, 2.48MB</t>
  </si>
  <si>
    <t>CLS, P, M, IT</t>
  </si>
  <si>
    <t>\cite{sarang2025detects}</t>
  </si>
  <si>
    <t xml:space="preserve">Custom CNN </t>
  </si>
  <si>
    <t>BreaKHis (all)</t>
  </si>
  <si>
    <t>Deployment Conversion</t>
  </si>
  <si>
    <t>Real-device benchmarking</t>
  </si>
  <si>
    <t>12.94M</t>
  </si>
  <si>
    <t>Device type</t>
  </si>
  <si>
    <t>\cite{rohman2025cmra}</t>
  </si>
  <si>
    <t xml:space="preserve"> validation</t>
  </si>
  <si>
    <t>Enhanced Half-UNet</t>
  </si>
  <si>
    <t>BUSI</t>
  </si>
  <si>
    <t>Explainability reported</t>
  </si>
  <si>
    <t>76.10‡</t>
  </si>
  <si>
    <t>0.21M</t>
  </si>
  <si>
    <t>SEG, P</t>
  </si>
  <si>
    <t xml:space="preserve">Cytology
 </t>
  </si>
  <si>
    <t>\cite{liu2025rsdcnet}</t>
  </si>
  <si>
    <t>depthwise separable conv + SCSE attention + ShuffleUnit</t>
  </si>
  <si>
    <t>breakHis(Bin) all mags</t>
  </si>
  <si>
    <t>1.200M</t>
  </si>
  <si>
    <t>-,</t>
  </si>
  <si>
    <t>CLS, IT, P</t>
  </si>
  <si>
    <t xml:space="preserve">
Hybrid (quantization,pruning,knowledge distillation)</t>
  </si>
  <si>
    <t>CLS, KD, IT, M
CLS, M
CLS, M
CLS, M</t>
  </si>
  <si>
    <t>MobileNetV1 (trained from scratch; comparison study)</t>
  </si>
  <si>
    <t>TFLite</t>
  </si>
  <si>
    <t>Modified PCam</t>
  </si>
  <si>
    <t>yes</t>
  </si>
  <si>
    <t>Raspberry Pi 4 Model B</t>
  </si>
  <si>
    <t>cross-dataset</t>
  </si>
  <si>
    <t>A2</t>
  </si>
  <si>
    <t xml:space="preserve">Histopathology
 </t>
  </si>
  <si>
    <t>CLS, IT</t>
  </si>
  <si>
    <t>\cite{ruza2023early}</t>
  </si>
  <si>
    <t>EfficientNet-B3</t>
  </si>
  <si>
    <t>InBreast</t>
  </si>
  <si>
    <t>11.844M</t>
  </si>
  <si>
    <t>custom lightweight architecture</t>
  </si>
  <si>
    <t>TL CLS, P</t>
  </si>
  <si>
    <t>SqueezeNet + Grad-CAM</t>
  </si>
  <si>
    <t xml:space="preserve">IDC patches </t>
  </si>
  <si>
    <t>Cytology</t>
  </si>
  <si>
    <t>1.267M</t>
  </si>
  <si>
    <t>-, 4.85MB</t>
  </si>
  <si>
    <t>TL, CLS, P, M</t>
  </si>
  <si>
    <t>\cite{tu2023hybrid}</t>
  </si>
  <si>
    <t>SHAP, LIME</t>
  </si>
  <si>
    <t>ResNet50 + attention mechanism</t>
  </si>
  <si>
    <t>breakHis</t>
  </si>
  <si>
    <t xml:space="preserve">TL, CLS </t>
  </si>
  <si>
    <t xml:space="preserve">Ultrasound
 </t>
  </si>
  <si>
    <t>\cite{zhang2024research}</t>
  </si>
  <si>
    <t>Enhanced YOLOv5 (MobileNetV2-ODConv backbone)</t>
  </si>
  <si>
    <t>DDSM
MIAS
INBreast</t>
  </si>
  <si>
    <t xml:space="preserve">97.4† 
98.8† 
90.7† </t>
  </si>
  <si>
    <t>98.5
98.1
97.9</t>
  </si>
  <si>
    <t>94.8
97.9
86.9</t>
  </si>
  <si>
    <t>45M</t>
  </si>
  <si>
    <t>84.5, -</t>
  </si>
  <si>
    <t>0.0129
0.0100
0.0233</t>
  </si>
  <si>
    <t>TL, DET, IT, P, F</t>
  </si>
  <si>
    <t>\cite{majumder2025sawl}</t>
  </si>
  <si>
    <t xml:space="preserve">Multimodal (Mammography + Ultrasound)
 </t>
  </si>
  <si>
    <t>MobileNetV2 + statistical similarity attention + wave-format Conv1D</t>
  </si>
  <si>
    <t>BreakHis-2-Class
BreakHis-8-Class</t>
  </si>
  <si>
    <t>99.37
98.11</t>
  </si>
  <si>
    <t>99.32
97.51</t>
  </si>
  <si>
    <t>99.22
98.88</t>
  </si>
  <si>
    <t>99.27
98.17</t>
  </si>
  <si>
    <t>2.32M</t>
  </si>
  <si>
    <t>-, 8.87MB</t>
  </si>
  <si>
    <t>CLS, IT, P, M</t>
  </si>
  <si>
    <t>\cite{esen2025multi}</t>
  </si>
  <si>
    <t>MobileNetV3-Large + lightweight channel–spatial attention + multi-task heads</t>
  </si>
  <si>
    <t xml:space="preserve">INbreast </t>
  </si>
  <si>
    <t>MRI</t>
  </si>
  <si>
    <t>4.26M</t>
  </si>
  <si>
    <t>CLS, TL, P</t>
  </si>
  <si>
    <t>\cite{varun2024computer}</t>
  </si>
  <si>
    <t>Stacked ensemble of MobileNetV2 + ShuffleNet + SqueezeNet with average voting</t>
  </si>
  <si>
    <t>BreaKHis(bin) (all)</t>
  </si>
  <si>
    <t xml:space="preserve">Ultrasound
 </t>
  </si>
  <si>
    <t>CLS, TL</t>
  </si>
  <si>
    <t>\cite{majumder2024emda}</t>
  </si>
  <si>
    <t>MobileNetV2 +  attention mechanism</t>
  </si>
  <si>
    <t>BreakHis (multi, all mags)</t>
  </si>
  <si>
    <t>\cite{ramyefficient backbone026explainable}</t>
  </si>
  <si>
    <t>CLS, TL, M</t>
  </si>
  <si>
    <t>\cite{muchemi2025investigating}</t>
  </si>
  <si>
    <t xml:space="preserve">EfficientNetB3 </t>
  </si>
  <si>
    <t>BUSI (all)
Mammogram masses</t>
  </si>
  <si>
    <t>90.82
89.80</t>
  </si>
  <si>
    <t>91.20
90.33</t>
  </si>
  <si>
    <t>90.92
89.87</t>
  </si>
  <si>
    <t>12M</t>
  </si>
  <si>
    <t>Thermography</t>
  </si>
  <si>
    <t>\cite{kubakisa2025automated}</t>
  </si>
  <si>
    <t xml:space="preserve">MobileNetV3 </t>
  </si>
  <si>
    <t xml:space="preserve">Mammography
 </t>
  </si>
  <si>
    <t>\cite{mustafa2025hybrid}</t>
  </si>
  <si>
    <t>FLA-optimized MobileNet
FLA-optimized MobileNet
DOA-optimized MobileNet</t>
  </si>
  <si>
    <t>MIAS
Breast Ultrasound
Fusion</t>
  </si>
  <si>
    <t>98.06
95.44
98.96</t>
  </si>
  <si>
    <t>98.00
95.00
98.00</t>
  </si>
  <si>
    <t>0.9982
-
0.9940</t>
  </si>
  <si>
    <t>CLS, TL, tested more backbone but mobilenet perform best</t>
  </si>
  <si>
    <t>\cite{ekta2024auto}</t>
  </si>
  <si>
    <t xml:space="preserve">MobileNetV2-style depthwise CNN features + XGBoost </t>
  </si>
  <si>
    <t>Bioelectrical Impedance</t>
  </si>
  <si>
    <t>3.5M</t>
  </si>
  <si>
    <t>-, 9.4MB</t>
  </si>
  <si>
    <t xml:space="preserve">A2 </t>
  </si>
  <si>
    <t>\cite{aslam2024benign}</t>
  </si>
  <si>
    <t xml:space="preserve">MobileNetV1+V2 pretrained deep features  + serial fusion </t>
  </si>
  <si>
    <t>breakHis(Bin) 40x
breakHis(Bin) 100x</t>
  </si>
  <si>
    <t>100
100</t>
  </si>
  <si>
    <t xml:space="preserve">TL, CLS, </t>
  </si>
  <si>
    <t>N/A</t>
  </si>
  <si>
    <t>Raspberry Pi 4B, Jetson Nano 4 GB;</t>
  </si>
  <si>
    <t>Histopathology</t>
  </si>
  <si>
    <t>Mobile Vit + Federated learning</t>
  </si>
  <si>
    <t>breakHis(Bin.) all mags</t>
  </si>
  <si>
    <t>-, 9.42MB</t>
  </si>
  <si>
    <t>Ultrasound</t>
  </si>
  <si>
    <t>A3</t>
  </si>
  <si>
    <t>CLS, IT, M</t>
  </si>
  <si>
    <t>\cite{abimouloud2024vision}</t>
  </si>
  <si>
    <t>conv tokenization + attention
mobileViT blocks + depthwise conv</t>
  </si>
  <si>
    <t>breakHis(Bin) 40x 
breakHis(multi) 40x 
breakHis(Bin) 200x 
breakHis(multi) 40x</t>
  </si>
  <si>
    <t>96.99
84.60
97.52
87.84</t>
  </si>
  <si>
    <t>97.81
84.80
96.91
87.90</t>
  </si>
  <si>
    <t>95.20
97.40
97.32
97.97</t>
  </si>
  <si>
    <t>97.81
84.63
97.32
87.84</t>
  </si>
  <si>
    <t>97.81
84.40
97.11
87.55</t>
  </si>
  <si>
    <t>98.93
97.10
99.69
98.01</t>
  </si>
  <si>
    <t>0.407M
1.489M</t>
  </si>
  <si>
    <t>,</t>
  </si>
  <si>
    <t>\cite{cherakhloo2024dct}</t>
  </si>
  <si>
    <t>Discrete Cosine Transform Attention + MobileConv</t>
  </si>
  <si>
    <t>BreaKHis (Bin) 40×
BreaKHis (Multi) 40×</t>
  </si>
  <si>
    <t>Grad-CAM</t>
  </si>
  <si>
    <t>96.00
87.85</t>
  </si>
  <si>
    <t>95.65
87.71</t>
  </si>
  <si>
    <t>95.66
87.35</t>
  </si>
  <si>
    <t>95.64
87.31</t>
  </si>
  <si>
    <t>7.967M</t>
  </si>
  <si>
    <t>\cite{ahmed2024coatnet}</t>
  </si>
  <si>
    <t>CNN-Transformer + layer reduction</t>
  </si>
  <si>
    <t>CBIS-DDSM</t>
  </si>
  <si>
    <t>efficient backbone</t>
  </si>
  <si>
    <t>\cite{ruzefficient backbone023early}</t>
  </si>
  <si>
    <t>22.49M</t>
  </si>
  <si>
    <t>Mammography</t>
  </si>
  <si>
    <t>\cite{patil2023efficient}</t>
  </si>
  <si>
    <t>ResNet18 QC filtering</t>
  </si>
  <si>
    <t>B1</t>
  </si>
  <si>
    <t>WSI</t>
  </si>
  <si>
    <t>IDC patches</t>
  </si>
  <si>
    <t>\cite{jalalian2025enhancing}</t>
  </si>
  <si>
    <t xml:space="preserve">Wiener+CLAHE + lesion-ROI cropping UNet++ mass segmentation </t>
  </si>
  <si>
    <t xml:space="preserve">CBIS-DDSM
INbreast </t>
  </si>
  <si>
    <t>87.05‡
82.00‡</t>
  </si>
  <si>
    <t>92.33
92.83</t>
  </si>
  <si>
    <t>93.83
88.33</t>
  </si>
  <si>
    <t>92.92‡
89.92‡</t>
  </si>
  <si>
    <t>DET</t>
  </si>
  <si>
    <t>\cite{oladimeji2023lightweight}</t>
  </si>
  <si>
    <t>Slice selection (entropy) + 3-layer DCNN</t>
  </si>
  <si>
    <t xml:space="preserve">BCS-DBT </t>
  </si>
  <si>
    <t xml:space="preserve">Mammography
 </t>
  </si>
  <si>
    <t>\cite{alemu2025genetic}</t>
  </si>
  <si>
    <t xml:space="preserve">GA feature selection + KNN→SVM hybrid </t>
  </si>
  <si>
    <t>B4</t>
  </si>
  <si>
    <t>\cite{nguyen2025lightweight}</t>
  </si>
  <si>
    <t xml:space="preserve">ResNet34 feature extraction + Chi-square filter + SVM </t>
  </si>
  <si>
    <t>\cite{gupta2025reducing}</t>
  </si>
  <si>
    <t>ResNet50 feature extraction + XGBoost with Stable Diffusion augmentation</t>
  </si>
  <si>
    <t>\cite{romero2025lightweight}</t>
  </si>
  <si>
    <t>7 texture features + Coarse DT</t>
  </si>
  <si>
    <t>interpretable attention maps</t>
  </si>
  <si>
    <t>\cite{khalid2025knowledge}</t>
  </si>
  <si>
    <t>KD + WGAN-GP augmented UM-BMID</t>
  </si>
  <si>
    <t>UM-BMID</t>
  </si>
  <si>
    <t>1.89 MB</t>
  </si>
  <si>
    <t>0.96 size reduction</t>
  </si>
  <si>
    <t>C3</t>
  </si>
  <si>
    <t>CLS,  KD, M</t>
  </si>
  <si>
    <t>\cite{yeh2025lightweight}</t>
  </si>
  <si>
    <t>knowledge distillation + Swarm Optimization</t>
  </si>
  <si>
    <t>summary</t>
  </si>
  <si>
    <t>bibtex</t>
  </si>
  <si>
    <t>5.3M</t>
  </si>
  <si>
    <t>-, 23MB</t>
  </si>
  <si>
    <t>parameter reduction rate of 96.17%</t>
  </si>
  <si>
    <t>CLS, KD, TL, P, parameter reduction rate of 96.17%</t>
  </si>
  <si>
    <t>\cite{wang2025illuminating}</t>
  </si>
  <si>
    <t>ViT + Low-Rank Adaptation (LoRA) fine tuning</t>
  </si>
  <si>
    <t>They employs a high-sensitivity loss-modified U-Net to localize suspicious regions in low-resolution whole-slide images and then applies a custom lightweight CNN built with depthwise separable and MixConv blocks for patch classification.</t>
  </si>
  <si>
    <t>BreaKHis (Bin) all mags</t>
  </si>
  <si>
    <t>@inproceedings{liu2020effidiag,
  title={Effidiag: an efficient framework for breast cancer diagnosis in multi-gigapixel whole slide images},
  author={Liu, Shuyan and Ren, Junda and Chen, Zhineng and Hu, Kai and Xiao, Fen and Li, Xuanya and Gao, Xieping},
  booktitle={2020 IEEE International Conference on Bioinformatics and Biomedicine (BIBM)},
  pages={663--669},
  year={2020},
  organization={IEEE}
}</t>
  </si>
  <si>
    <t>0.15M</t>
  </si>
  <si>
    <t>C4</t>
  </si>
  <si>
    <t>Ultrasound
Mammography</t>
  </si>
  <si>
    <t>\cite{kaladevi2024multimodal}</t>
  </si>
  <si>
    <t>They benchmark MobileNetV1 against deeper CNNs (ResNet50, DenseNet201) for lymph-node metastasis patch classification on modified PCam and show that MobileNet reaches 91.1% accuracy with ~1.8 ms/image inference</t>
  </si>
  <si>
    <t xml:space="preserve">multimodal CNN/DNN </t>
  </si>
  <si>
    <t>@inproceedings{ahmad2021comparative,
  title={Comparative study of deep learning models for automatic detection of metastases in H\&amp;E stained images},
  author={Ahmad, Bilal and Jun, Sun and Li, Jinxing and Lidan, Bai},
  booktitle={2021 4th International conference on computing \&amp; information sciences (ICCIS)},
  pages={1--6},
  year={2021},
  organization={IEEE}
}</t>
  </si>
  <si>
    <t>METABRIC</t>
  </si>
  <si>
    <t>They proposed MobileViT-based self-attention classifier that integrates explicit texture features and image enhancement within a federated learning framework to enable efficient and privacy-preserving classification.</t>
  </si>
  <si>
    <t>Hybrid (A1+B4)</t>
  </si>
  <si>
    <t>@article{yan2023pla,
  title={PLA—A Privacy-Embedded lightweight and efficient automated breast cancer accurate diagnosis framework for the internet of medical things},
  author={Yan, Chengxiao and Zeng, Xiaoyang and Xi, Rui and Ahmed, Awais and Hou, Mengshu and Tunio, Muhammad Hanif},
  journal={Electronics},
  volume={12},
  number={24},
  pages={4923},
  year={2023},
  publisher={MDPI}
}</t>
  </si>
  <si>
    <t>\cite{kubakisefficient backbone025automated}</t>
  </si>
  <si>
    <t>\cite{muthukrishnan2025efficient}</t>
  </si>
  <si>
    <t>Multihead attention CNN</t>
  </si>
  <si>
    <t>They applied contrast enhancement and edge detection to improve image quality, then classified images using parallel separable-convolution branches with multiple kernel sizes, enhanced with factorized convolutions  and bottleneck layers to reduce computation while preserving a wide receptive field.</t>
  </si>
  <si>
    <t>CBIS-DDSM
MIAS</t>
  </si>
  <si>
    <t>98.2
99.9</t>
  </si>
  <si>
    <t>@Article{diagnostics13020299,
AUTHOR = {Nneji, Grace Ugochi and Monday, Happy Nkanta and Mgbejime, Goodness Temofe and Pathapati, Venkat Subramanyam R. and Nahar, Saifun and Ukwuoma, Chiagoziem Chima},
TITLE = {Lightweight Separable Convolution Network for Breast Cancer Histopathological Identification},
JOURNAL = {Diagnostics},
VOLUME = {13},
YEAR = {2023},
NUMBER = {2},
ARTICLE-NUMBER = {299},
URL = {https://www.mdpi.com/2075-4418/13/2/299},
PubMedID = {36673109},
ISSN = {2075-4418},</t>
  </si>
  <si>
    <t>97.8
99.7</t>
  </si>
  <si>
    <t>98.0
99.7</t>
  </si>
  <si>
    <t>98.5
99.8</t>
  </si>
  <si>
    <t>98.2
99.8</t>
  </si>
  <si>
    <t>98.25
99.8</t>
  </si>
  <si>
    <t>The paper presents a human-in-the-loop, cluster-driven active learning framework to train a lightweight patch classifier  that improves weakly supervised WSI classification by removing artifacts and irrelevant tissue regions.</t>
  </si>
  <si>
    <t>@article{patil2023efficient,
  title={Efficient quality control of whole slide pathology images with human-in-the-loop training},
  author={Patil, Abhijeet and Diwakar, Harsh and Sawant, Jay and Kurian, Nikhil Cherian and Yadav, Subhash and Rane, Swapnil and Bameta, Tripti and Sethi, Amit},
  journal={Journal of Pathology Informatics},
  volume={14},
  pages={100306},
  year={2023},
  publisher={Elsevier}
}</t>
  </si>
  <si>
    <t>CLS, Results are from training not val/test.</t>
  </si>
  <si>
    <t>\cite{mustafefficient backbone025hybrid}</t>
  </si>
  <si>
    <t>\cite{ur2025radiomic}</t>
  </si>
  <si>
    <t xml:space="preserve">Radiomic 2D V-Net + top-hat + INT8 quantization + pruning </t>
  </si>
  <si>
    <t>They use a pre-trained EfficientNet-B3 architecture and fine-tuned on augmented mammogram data</t>
  </si>
  <si>
    <t>PINUM
PINUM
PINUM
CBIS-DDSM
CBIS-DDSM
CBIS-DDSM</t>
  </si>
  <si>
    <t>Mammography
Ultrasound
Multimodal</t>
  </si>
  <si>
    <t xml:space="preserve">@article{ruza2023early,
  title={Early detection of breast cancer in mammograms using the lightweight modification of efficientNet B3},
  author={Ruza, Nabilah and Hussain, Saiful Izzuan and Mohamed, Siti Kamariah Che and Arzmi, Mohd Hafiz},
  journal={M{\'e}todos num{\'e}ricos para c{\'a}lculo y dise{\~n}o en ingenieria: Revista internacional},
  volume={39},
  number={3},
  pages={1--11},
  year={2023},
  publisher={Universidad Polit{\'e}cnica de Catalu{\~n}a/Universitat Polit{\`e}cnica de Catalunya}
}
</t>
  </si>
  <si>
    <t>1.94 System
2.44 Pi 4B
1.60 Jetson
1.91 System
2.41 Pi 4B
1.58 Jetson</t>
  </si>
  <si>
    <t>97.0
95.6
96.0
98.0
95.9
96.3</t>
  </si>
  <si>
    <t xml:space="preserve">87.0
97.0
</t>
  </si>
  <si>
    <t>They fine-tune a SqueezeNet via FastAI one-cycle discriminative transfer learning with Grad-CAM for attention/interpretability</t>
  </si>
  <si>
    <t>@article{chaudhury2023deep,
  title={Deep transfer learning for IDC breast cancer detection using fast AI technique and Sqeezenet architecture},
  author={Chaudhury, Sushovan and Sau, Kartik and Khan, Muhammad Attique and Shabaz, Mohammad},
  journal={Math Biosci Eng},
  volume={20},
  number={6},
  pages={10404--10427},
  year={2023}
}</t>
  </si>
  <si>
    <t xml:space="preserve">0.89
0.92
</t>
  </si>
  <si>
    <t>They fine-tune an ImageNet-pretrained ResNet50 augmented with an attention mechanism, using global average pooling to reduce parameters</t>
  </si>
  <si>
    <t>Hybrid (A1+C1+C2)</t>
  </si>
  <si>
    <t xml:space="preserve">@inproceedings{tu2023hybrid,
  title={A hybrid deep learning model for breast cancer detection and classification},
  author={Tu, Shanshan and Li, Wenlong and Ai, Xin and Li, Hongchen and Yue, Qingqing and Rehman, Sadaqat Ur},
  booktitle={Proceedings of the 2023 13th international conference on communication and network security},
  pages={350--353},
  year={2023}
}
</t>
  </si>
  <si>
    <t>\cite{han2026yolov9}</t>
  </si>
  <si>
    <t>enhanced YOLOv9 + channel-wise KD</t>
  </si>
  <si>
    <t>BIRADS-2023v1
BUSI
Dataset B</t>
  </si>
  <si>
    <t>They propose an enhanced YOLOv5 mammogram detector that improves contrast using adaptive histogram enhancement and strengthens localization with a Dynamic Head attention module and a minimum point distance–based IoU bounding-box loss. To reduce computation, they replace the backbone with MobileNetV2 augmented with Omni-Dimensional Dynamic Convolution (ODConv).</t>
  </si>
  <si>
    <t>0.704†
0.701†
0.930†</t>
  </si>
  <si>
    <t xml:space="preserve">@article{zhang2024research,
  title={Research on breast cancer detection methods based on odmv-muldyhead-yolo},
  author={Zhang, Yanhong and Li, Pei and Lan, Yihua and Jia, Xiao and Lv, Yingjie},
  journal={IEEE Access},
  volume={12},
  pages={186819--186835},
  year={2024},
  publisher={IEEE}
}
</t>
  </si>
  <si>
    <t>\cite{ektefficient backbone024auto}</t>
  </si>
  <si>
    <t>0.708
0.702
0.896</t>
  </si>
  <si>
    <t>0.709
0.713
0.912</t>
  </si>
  <si>
    <t>0.708
0.707
0.904</t>
  </si>
  <si>
    <t>They propose two lightweight histopathology classifiers by (i) using a Compact Convolutional Transformer that replaces heavy ViT patch/encoder stacks with shallow convolutional tokenization and attention, and (ii) adopting MobileViT with mobile-oriented blocks and depthwise convolutions.</t>
  </si>
  <si>
    <t>1.82M</t>
  </si>
  <si>
    <t>7.2, 4.17MB</t>
  </si>
  <si>
    <t>@article{abimouloud2024vision,
  title={Vision transformer based convolutional neural network for breast cancer histopathological images classification},
  author={Abimouloud, Mouhamed Laid and Bensid, Khaled and Elleuch, Mohamed and Ammar, Mohamed Ben and Kherallah, Monji},
  journal={Multimedia Tools and Applications},
  volume={83},
  number={39},
  pages={86833--86868},
  year={2024},
  publisher={Springer}
}</t>
  </si>
  <si>
    <t>Hybrid (A1+C3)</t>
  </si>
  <si>
    <t>DET, KD, P, F, M, IT</t>
  </si>
  <si>
    <t>\cite{bruno2025dual}</t>
  </si>
  <si>
    <t>They propose a dual-branch lightweight transformer that applies DCT + low-pass filtering to reduce attention cost and a MobileConv branch for local detail, then fuses both for prediction.</t>
  </si>
  <si>
    <t xml:space="preserve">efficient backbone </t>
  </si>
  <si>
    <t xml:space="preserve">ROI segmentation + MobileNetV3-Small </t>
  </si>
  <si>
    <t xml:space="preserve">@inproceedings{cherakhloo2024dct,
  title={DCT-HistoTransformer: Efficient lightweight vision transformer with DCT integration for histopathological image analysis},
  author={Cherakhloo, Mahdi and Ranjbar, Mahtab and Mohebbi, Mehdi and Vahdat, Bijan Vosoughi},
  booktitle={2024 31st National and 9th International Iranian Conference on Biomedical Engineering (ICBME)},
  pages={409--415},
  year={2024},
  organization={IEEE}
}
</t>
  </si>
  <si>
    <t>BUSI
BUSI, Breast-Lesions-USG (Cross-dataset)</t>
  </si>
  <si>
    <t>95.2
80.21</t>
  </si>
  <si>
    <t>96.6
83.3</t>
  </si>
  <si>
    <t>compact 3-hidden-layer MLP and SHAP/LIME explanations to make predictions interpretable for clinicians</t>
  </si>
  <si>
    <t>92.4
76.1</t>
  </si>
  <si>
    <t>94.4
79.5</t>
  </si>
  <si>
    <t>Android phone, GPU, 8-core CPU, 4-core CPU</t>
  </si>
  <si>
    <t xml:space="preserve">@inproceedings{tanim2024breast,
  title={Breast cancer diagnosis with xai-integrated deep learning approach},
  author={Tanim, Sharia Arfin and Alam, Gazi Mohammad Imdadul and Shrestha, Tahmid Enam and Islam, Maruful and Jahan, Fariha and Nur, Kamruddin},
  booktitle={2024 International Conference on Innovation and Intelligence for Informatics, Computing, and Technologies (3ICT)},
  pages={659--665},
  year={2024},
  organization={IEEE}
}
</t>
  </si>
  <si>
    <t>0.990
0.876</t>
  </si>
  <si>
    <t>MobileNetV2-inspired depthwise-separable CNN feature extractor, then an XGBoost classifier for benign/malignant patch screening</t>
  </si>
  <si>
    <t>Hybrid (A2+B1)</t>
  </si>
  <si>
    <t>CLS, SEG, TL</t>
  </si>
  <si>
    <t>@article{ekta2024auto,
  title={Auto-bcs: A hybrid system for real-time breast cancer screening from pathological images},
  author={Ekta and Bhatia, Vandana},
  journal={Journal of Imaging Informatics in Medicine},
  volume={37},
  number={4},
  pages={1752--1766},
  year={2024},
  publisher={Springer}
}</t>
  </si>
  <si>
    <t>\cite{vickram2024breast}</t>
  </si>
  <si>
    <t>\cite{vinod2024lightweight}</t>
  </si>
  <si>
    <t>MobileNet + MobileNetV2 + 50% feature reduction + SoftMax</t>
  </si>
  <si>
    <t>A compact 3-conv model and deploy it on CPU, PYNQ-Z2 FPGA, and Android, using 50% pruning and reduced-precision/INT8 quantization</t>
  </si>
  <si>
    <t>@article{vinod2024lightweight,
  title={A lightweight deep convolutional neural network implemented on FPGA and android devices for detection of breast cancer using ultrasound images},
  author={Vinod, Aditya and Guddati, Prabhav and Panda, Amit Kumar and Tripathy, Rajesh Kumar},
  journal={IEEE Access},
  volume={12},
  pages={179190--179203},
  year={2024},
  publisher={IEEE}
}</t>
  </si>
  <si>
    <t>Hybrid (A2+B4)</t>
  </si>
  <si>
    <t>They extract deep features from pretrained MobileNetV1 and MobileNetV2, reduce each feature vector using 50% dropout, then serially fuse both feature sets and classify with SoftMax</t>
  </si>
  <si>
    <t>\cite{al2025detection}</t>
  </si>
  <si>
    <t xml:space="preserve">@inproceedings{aslam2024benign,
  title={Benign/Malignant Breast Cancer Detection in Histopathology Image using Fused Deep-Learning Features},
  author={Aslam, Shabnam Mohamed},
  booktitle={2024 IEEE 9th International Conference on Engineering Technologies and Applied Sciences (ICETAS)},
  pages={1--6},
  year={2024},
  organization={IEEE}
}
</t>
  </si>
  <si>
    <t>Dual-stream DenseNet121 + U-Net-guided ViT-Lite late fusion</t>
  </si>
  <si>
    <t>BUSI
CBIS-DDSM</t>
  </si>
  <si>
    <t>99.99
99.35</t>
  </si>
  <si>
    <t>99.97
99.25</t>
  </si>
  <si>
    <t>RegNet-inspired  classifier that combined depthwise separable convolution with SCSE channel–spatial attention and efficient grouped/shuffle blocks</t>
  </si>
  <si>
    <t>99.97
99.12</t>
  </si>
  <si>
    <t xml:space="preserve">@article{liu2025rsdcnet,
  title={RSDCNet: An efficient and lightweight deep learning model for benign and malignant pathology detection in breast cancer},
  author={Liu, Yuan and Li, Haipeng and Zhu, Zhu and Chen, Chen and Zhang, Xiaojing and Jin, Gongsheng and Li, Hongtao},
  journal={Digital Health},
  volume={11},
  pages={20552076251336286},
  year={2025},
  publisher={SAGE Publications Sage UK: London, England}
}
</t>
  </si>
  <si>
    <t>99.97
98.88</t>
  </si>
  <si>
    <t>5.08M</t>
  </si>
  <si>
    <t>-, 46.22MB</t>
  </si>
  <si>
    <t>MobileNetV2-based lightweight CNN augmented with statistical similarity attention (Pearson+cosine for low-level features; Spearman+cosine for high-level features) and a wavelet-inspired channel processing layer that treats channels as sequences and applies Conv1D for localized pattern attention</t>
  </si>
  <si>
    <t>Hybrid (A3+B1)</t>
  </si>
  <si>
    <t>CLS, TL, P, M, IT</t>
  </si>
  <si>
    <t xml:space="preserve">@article{majumder2025sawl,
  title={SAWL-Net: A Statistical Attentions and Wavelet Aided Lightweight Network for Classification of Cancers in Histopathological Images},
  author={Majumder, Surya and Paul, Aishik and Schwenker, Friedhelm and Sarkar, Ram},
  journal={IEEE Transactions on Artificial Intelligence},
  volume={6},
  number={8},
  pages={2051--2060},
  year={2025},
  publisher={IEEE}
}
</t>
  </si>
  <si>
    <t>\cite{chen2025yolo}</t>
  </si>
  <si>
    <t xml:space="preserve">U-Net ROI localization + Depthwise separable + MixConv </t>
  </si>
  <si>
    <t>They enhanced YOLOv11 segmentation for breast ultrasound by combining grouped multi-scale convolution, GSConv-based lightweight feature fusion, and hierarchical local–global attention with a lightweight segmentation head</t>
  </si>
  <si>
    <t>@article{chen2025yolo,
  title={YOLO-MAFS: Multi-scale Attention Fusion Network for Precise Breast Cancer Segmentation in Ultrasound Images.},
  author={Chen, Luming and Zhang, Xinhe},
  journal={Engineering Letters},
  volume={33},
  number={11},
  year={2025}
}</t>
  </si>
  <si>
    <t>efficient attention / transformer-based</t>
  </si>
  <si>
    <t>0.065M</t>
  </si>
  <si>
    <t>a compact U-Net–shaped multimodal classifier for mammogram + ultrasound that uses depthwise separable conv blocks (3×3 depthwise + 1×1 pointwise) with only nine layers, and improves robustness by generating 10,000 synthetic ultrasound images using StyleGAN3 for augmentation.</t>
  </si>
  <si>
    <t>0.052, 13.89MB</t>
  </si>
  <si>
    <t>Hybrid (B1 + A1)</t>
  </si>
  <si>
    <t>@article{rai2025lightweightunet,
  title={LightweightUNet: Multimodal deep learning with GAN-augmented imaging data for efficient breast cancer detection},
  author={Rai, Hari Mohan and Yoo, Joon and Agarwal, Saurabh and Agarwal, Neha},
  journal={Bioengineering},
  volume={12},
  number={1},
  pages={73},
  year={2025},
  publisher={MDPI}
}</t>
  </si>
  <si>
    <t>WSI, E2E, P, F, M</t>
  </si>
  <si>
    <t>3D U-Net for DCE-MRI tumor segmentation that replaces standard 3D conv with 3D depthwise separable conv and adds mobile-style expansion/residual units plus an auxiliary classification branch</t>
  </si>
  <si>
    <t>Custom CNN +  50% pruning + INT8 quantization</t>
  </si>
  <si>
    <t>BUS (CPU FP32)
BUS (FPGA)
BUS (Android INT8)</t>
  </si>
  <si>
    <t>@article{wang2025mm,
  title={MM-3D Unet: development of a lightweight breast cancer tumor segmentation network utilizing multi-task and depthwise separable convolution},
  author={Wang, Xian and Zeng, Wenzhi and Xu, Junzeng and Zhang, Senhao and Gu, Yuexing and Li, Benhui and Wang, Xueyang},
  journal={Frontiers in Oncology},
  volume={15},
  pages={1563959},
  year={2025},
  publisher={Frontiers}
}</t>
  </si>
  <si>
    <t xml:space="preserve">Histopathology
 </t>
  </si>
  <si>
    <t>94.15
93.16
93.76</t>
  </si>
  <si>
    <t>94.15
93.16
93.72</t>
  </si>
  <si>
    <t>They formulate mammography as a multi-task problem (malignancy + BI-RADS density) using an ImageNet-pretrained backbone with a lightweight channel–spatial attention block, and show that MobileNetV3-Large offers a strong accuracy–efficiency tradeoff</t>
  </si>
  <si>
    <t>94.15
93.16
93.70</t>
  </si>
  <si>
    <t>@article{esen2025multi,
  title={Multi-Task Attention-Guided Deep Learning for Simultaneous Breast Cancer Detection and Density Estimation in Mammography},
  author={Esen, Gani and Nurtas, Marat and La Paglia, Laura and Amankulov, Jandos and Matkerim, Bazargul and Altaibek, Aizhan},
  journal={IEEE Access},
  volume={13},
  pages={198938--198951},
  year={2025},
  publisher={IEEE}
}</t>
  </si>
  <si>
    <t>-, 11.13KB
-, -
-, 7.75KB</t>
  </si>
  <si>
    <t>0.087
0.004
0.66</t>
  </si>
  <si>
    <t>Hybrid(A1+C2+C1)</t>
  </si>
  <si>
    <t>They combine UNet++ with an optimized preprocessing pipeline (Wiener denoising + CLAHE + lesion ROI cropping) to segment breast masses</t>
  </si>
  <si>
    <t>@article{jalalian2025enhancing,
  title={Enhancing Breast Cancer Segmentation in Mammography with UNet++-Deep Learning Approach},
  author={Jalalian, Kimia and Hosseini, Golnaz and Ghiasi, Razieh and Bosaghzadeh, Alireza},
  journal={Frontiers in Biomedical Technologies},
  year={2025}
}</t>
  </si>
  <si>
    <t>They improve benign/malignant classification by using genetic algorithms for feature selection and parameter tuning before KNN/SVM</t>
  </si>
  <si>
    <t>@article{alemu2025genetic,
  title={Genetic algorithm-optimized k-nearest neighbors and support vector machines for breast cancer detection in resource-constrained environments},
  author={Alemu, Abebe and Girma, Anteneh and Abebe, Mesfin and Srinivasagan, Ramasamy},
  journal={IAENG International Journal of Computer Science},
  volume={52},
  number={3},
  pages={848--861},
  year={2025}
}</t>
  </si>
  <si>
    <t>They fine-tune a Vision Transformer (ViT) using Low-Rank Adaptation (LoRA), training only small low-rank matrices injected into attention projections to reduce trainable parameters and improve performance in data-limited settings</t>
  </si>
  <si>
    <t xml:space="preserve">@article{wang2025illuminating,
  title={Illuminating breast cancer malignancies: Lightweight histopathology computer vision classifier for precise breast cancer screening},
  author={Wang, Zhijie and Yin, Yachen and Xu, Weizheng and Mo, Yu K and Yang, Han and Xiong, Jingwei and Hong, Zhenchen},
  journal={EngMedicine},
  volume={2},
  number={2},
  pages={100053},
  year={2025},
  publisher={Elsevier}
}
</t>
  </si>
  <si>
    <t>improves breast ultrasound mass detection by combining efficient multiscale feature extraction with a lightweight shared detection head and WIoU loss</t>
  </si>
  <si>
    <t>@article{li2025lightweight,
  title={Lightweight Detection Algorithm for Breast-Mass Features in Ultrasound Images},
  author={Li, Taojuan and Liu, Wen and Song, Mingxian and Gu, Zheng and Hai, Ling},
  journal={IEEE Access},
  year={2025},
  publisher={IEEE}
}</t>
  </si>
  <si>
    <t>\cite{nguyen2025lightweight} propose a thermography-based hybrid pipeline that combines ResNet34 feature extraction, Chi-square feature filtering, and SVM classification.</t>
  </si>
  <si>
    <t>@article{nguyen2025lightweight,
  title={A lightweight method for breast Cancer detection using thermography images with optimized CNN feature and efficient classification},
  author={Nguyen Chi, Thanh and Le Thi Thu, Hong and Doan Quang, Tu and Taniar, David},
  journal={Journal of Imaging Informatics in Medicine},
  volume={38},
  number={3},
  pages={1434--1451},
  year={2025},
  publisher={Springer}
}</t>
  </si>
  <si>
    <t>propose a dual-stream DenseNet121 + U-Net-guided ViT-Lite fusion network that combines global and tumor-focused contextual features</t>
  </si>
  <si>
    <t>@article{al2025detection,
  title={Detection of Breast Cancer Using a Dual-Stream Network of DenseNet121 and UNet Guided ViT Fusion Transformer.},
  author={Al Abboodi, Hanaa M and Alhuseen, Abd and Ali, Zainab and Salih Abedi, Wafaa M},
  journal={International Journal of Intelligent Engineering \&amp; Systems},
  volume={18},
  number={7},
  year={2025}
}</t>
  </si>
  <si>
    <t>propose a stacked ensemble of three lightweight CNNs—MobileNetV2, ShuffleNet, and SqueezeNet—whose average-voting fusion improves BreaKHis classification, outperforming the individual lightweight models</t>
  </si>
  <si>
    <t>LIME and Grad-CAM</t>
  </si>
  <si>
    <t>@inproceedings{varun2024computer,
  title={A computer aided detection system for breast cancer using lightweight cnn models for smart healthcare},
  author={Varun, C and Poreddy, Ajay Kumar Reddy and Balakrishna, Thunakala and Kokil, Priyanka},
  booktitle={2024 Tenth International Conference on Bio Signals, Images, and Instrumentation (ICBSII)},
  pages={1--6},
  year={2024},
  organization={IEEE}
}</t>
  </si>
  <si>
    <t>They classify breast histology slides using fused lightweight deep features, where feature vectors from lightweight backbones are reduced and combined before SoftMax classification</t>
  </si>
  <si>
    <t xml:space="preserve">@inproceedings{vickram2024breast,
  title={Breast Histology Slides Classification using Fused Lightweight Deep Features},
  author={Vickram, AS and Sowndharya, B Bhavani},
  booktitle={2024 5th International Conference on Smart Electronics and Communication (ICOSEC)},
  pages={1--5},
  year={2024},
  organization={IEEE}
}
</t>
  </si>
  <si>
    <t>\cite{oladimeji2023lightweight} propose a lightweight DBT classification pipeline that selects only the most informative slices before training a compact 3-layer CNN, with entropy-based selection</t>
  </si>
  <si>
    <t>workflow efficiency</t>
  </si>
  <si>
    <t>@inproceedings{oladimeji2023lightweight,
  title={Lightweight deep learning for breast cancer diagnosis based on slice selection techniques},
  author={Oladimeji, Oladosu and Ayaz, Hamail and McLoughlin, Ian and Unnikrishnan, Saritha},
  booktitle={2023 31st Irish Conference on Artificial Intelligence and Cognitive Science (AICS)},
  pages={1--4},
  year={2023},
  organization={IEEE}
}</t>
  </si>
  <si>
    <t>\cite{majumder2024emda} extends MobileNetV2 with EMD-based attention modules</t>
  </si>
  <si>
    <t>@inproceedings{majumder2024emda,
  title={EMDA-Net: Earth Mover’s Distance (EMD) influenced Attention-aided Neural Network for Medical Image Classification},
  author={Majumder, Surya and Mallick, Kushaj and Pal, Wrick and Chakraborty, Somenath and Sarkar, Ram},
  booktitle={2024 IEEE 6th International Conference on Cognitive Machine Intelligence (CogMI)},
  pages={247--256},
  year={2024},
  organization={IEEE}
}</t>
  </si>
  <si>
    <t>\cite{agrawal2024neural}</t>
  </si>
  <si>
    <t>\cite{agrawal2024neural} shows that a backpropagation-trained decision-tree-like model can achieve 93% accuracy on the breast-cancer dataset with fewer neurons and lower MAC cost than a comparable neural network, highlighting an alternative TinyML route for tabular diagnosis.</t>
  </si>
  <si>
    <t>@inproceedings{agrawal2024neural,
  title={Neural decision tree for bio-tinyml},
  author={Agrawal, Kartikay and Borthakur, Ayon and Singh, Ayush Kumar and Srikaran, Perambuduri and Nandi, Digjoy and Pujari, Omkaradithya},
  booktitle={2024 IEEE Biomedical Circuits and Systems Conference (BioCAS)},
  pages={1--5},
  year={2024},
  organization={IEEE}
}</t>
  </si>
  <si>
    <t>a larger teacher model transfers knowledge to a much smaller student model. It then compares the KD student against pruning and quantization baselines, and further converts the student to TensorFlow Lite (TFLite) for deployment on a Raspberry Pi 4 Model B. They show that knowledge distillation plus TFLite conversion yields the best deployment trade-off for low-resource breast-cancer diagnosis.</t>
  </si>
  <si>
    <t>@article{modu2025development,
  title={Development of a Knowledge-Distillation-Based Breast Cancer Classifier for LMICs: Comparison with Pruning and Quantization},
  author={Modu, Falmata and Prasad, Rajesh and Aliyu, Farouq},
  journal={Electronics},
  volume={14},
  number={24},
  pages={4842},
  year={2025},
  publisher={MDPI}
}</t>
  </si>
  <si>
    <t>BCS-DBT</t>
  </si>
  <si>
    <t>tomosynthesis</t>
  </si>
  <si>
    <t>\cite{han2026yolov9} YOLOv9-AGMA combines lightweight architectural redesign with channel-wise knowledge distillation,</t>
  </si>
  <si>
    <t>@article{han2026yolov9,
  title={YOLOv9-AGMA: An enhanced knowledge distillation network for breast ultrasound image classification},
  author={Han, Kun and Li, Zhigang and Cai, Minjie},
  journal={Biomedical Signal Processing and Control},
  volume={113},
  pages={108957},
  year={2026},
  publisher={Elsevier}
}</t>
  </si>
  <si>
    <t>They integrate lesion segmentation and classification in a single explainable ultrasound framework, with Re­
sidual Squeeze-and-Excitation U-Net  combined with a Capsule Network (CN) optimized using the Blood-Sucking Leech Optimizer</t>
  </si>
  <si>
    <t>@article{ramya2026explainable,
  title={Explainable deep learning framework for breast tumor analysis in ultrasound imaging systems},
  author={Ramya, TV and Jayaseeli, JD Dorathi},
  journal={Biomedical Signal Processing and Control},
  volume={114},
  pages={109336},
  year={2026},
  publisher={Elsevier}
}</t>
  </si>
  <si>
    <t>\cite{tang2025multi}</t>
  </si>
  <si>
    <t>\cite{tang2025multi} propose Multi-light Net, a multi-input lightweight CNN for breast thermography that jointly processes front, left-45°, and right-45° views, uses a multi-dimensional fusion scheme with dedicated branch-fusion modules, and introduces weighted label smoothing regularization (WLSR) to improve classification robustness.</t>
  </si>
  <si>
    <t>@article{tang2025multi,
  title={A multi-input lightweight convolutional neural network for breast cancer detection considering infrared thermography},
  author={Tang, Yundong and Zhou, Depei and Flesch, Rodolfo CC and Jin, Tao},
  journal={Expert systems with applications},
  volume={263},
  pages={125738},
  year={2025},
  publisher={Elsevier}
}</t>
  </si>
  <si>
    <t>feature-efficient classical ML</t>
  </si>
  <si>
    <t>\cite{jiang2025prior}</t>
  </si>
  <si>
    <t>\cite{jiang2025prior} use segmentation prior knowledge to guide ultrasound tumor classification, combining a CNN–Transformer global segmenter, a lightweight CNN U-Net local segmenter, and multimodal global/local fusion to improve breast-tumor but the full system remains relatively heavy (83.36M parameters)</t>
  </si>
  <si>
    <t xml:space="preserve">@article{jiang2025prior,
  title={A prior segmentation knowledge enhanced deep learning system for the classification of tumors in ultrasound image},
  author={Jiang, Tao and Guo, Jun and Xing, Wenyu and Yu, Ming and Li, Yifang and Zhang, Bo and Dong, Yi and Ta, Dean},
  journal={Engineering Applications of Artificial Intelligence},
  volume={142},
  pages={109926},
  year={2025},
  publisher={Elsevier}
}
</t>
  </si>
  <si>
    <t>narr</t>
  </si>
  <si>
    <t>\cite{liu2025ae} enhances YOLOv8 for mammographic mass detection by combining aggregated dynamic convolution with a visual enhancement block for global-context modeling and redundancy suppression</t>
  </si>
  <si>
    <t>@article{liu2025ae,
  title={AE-YOLO: Feature Focus Enhancement for Breast Mass Detection},
  author={Liu, Huangchi and Chen, Xiaoxiao and Zhang, Wenqian and Yao, Wei and Xu, Shengzhou},
  journal={International Journal of Imaging Systems and Technology},
  volume={35},
  number={5},
  pages={e70205},
  year={2025},
  publisher={Wiley Online Library}
}</t>
  </si>
  <si>
    <t>\cite{guptefficient backbone025reducing}</t>
  </si>
  <si>
    <t>\cite{muthukrishnan2025efficient} combines mammogram enhancement, Grey‐Level Co‐occurrence Matrix feature extraction, metaheuristic feature selection, and a multi-head-attention CNN</t>
  </si>
  <si>
    <t>@article{muthukrishnan2025efficient,
  title={An efficient lightweight multi head attention gannet convolutional neural network based mammograms classification},
  author={Muthukrishnan, Ramkumar and Balasubramaniam, Ashok and Krishnasamy, Vijaipriya and Ravichandran, Sarath Kumar},
  journal={The International Journal of Medical Robotics and Computer Assisted Surgery},
  volume={21},
  number={1},
  pages={e70043},
  year={2025},
  publisher={Wiley Online Library}
}</t>
  </si>
  <si>
    <t>\cite{rohman2025cmra} CMRA-Net builds on Half-UNet by adding GhostModuleV2, ConvMixer, and a multi-scale residual attention module to improve feature extraction while keeping the segmentation network lightweight.</t>
  </si>
  <si>
    <t>@inproceedings{rohman2025cmra,
  title={CMRA-Net: An Efficient Architecture for Early Detection of Breast Cancer Through Ultrasound Image Segmentation},
  author={Rohman, Muhammad Anang Fathur and Prasetyo, Heri and Akbar, Hafidh Muhammad and Septiano, Andika Kavin and Nadhif, Abrar Dwi Fairuz and Prayuda, Alim Wicaksono Hari},
  booktitle={2025 International Seminar on Intelligent Technology and Its Applications (ISITIA)},
  pages={13--18},
  year={2025},
  organization={IEEE}
}</t>
  </si>
  <si>
    <t>Using EfficientNetB3 transfer learning, \cite{muchemi2025investigating} compares performance across the two modalities and concludes ultrasound performed better in their settings.</t>
  </si>
  <si>
    <t>@inproceedings{muchemi2025investigating,
  title={Investigating Lightweight efficient Net B3 for Image Classification in Breast Cancer Screening},
  author={Muchemi, Wanjugu and Subramanian, Preethi and Vengusamy, Sivakumar},
  booktitle={2025 International Conference on Metaverse and Current Trends in Computing (ICMCTC)},
  pages={1--5},
  year={2025},
  organization={IEEE}
}</t>
  </si>
  <si>
    <t>\cite{khalid2025knowledge} shows that knowledge distillation can shrink a microwave-imaging breast-cancer detector from 47.95 MB to 1.89 MB while preserving accuracy almost perfectly</t>
  </si>
  <si>
    <t>@inproceedings{khalid2025knowledge,
  title={Knowledge Distillation-Based TinyML Model for Breast Cancer Detection Using Real and Wasserstein GAN-Generated Microwave Imaging Data},
  author={Khalid, Nazish and Dagli, Cihan and Obafemi-Ajayi, Tayo and Wunsch, Donald},
  booktitle={2025 47th Annual International Conference of the IEEE Engineering in Medicine and Biology Society (EMBC)},
  pages={1--6},
  year={2025},
  organization={IEEE}
}</t>
  </si>
  <si>
    <t>\cite{kubakisa2025automated} compared Mobilenet-v3 to classical CNN and Vision
Transformers (ViT), and showed that mobilenetv3 balace computational efficiency and performance in their settings.</t>
  </si>
  <si>
    <t>@inproceedings{kubakisa2025automated,
  title={Automated Breast Cancer Classification from Medical Imaging using MobileNet},
  author={Kubakisa, Christian Kutabuna and Kambale, Witesyavwirwa Vianney and Kayembe, Isaac Lukusa and Hamed, Mahmoud and Miantezolo, Rom{\'e}o and Kyamakya, Kyandoghere},
  booktitle={2025 Conference on Information Communications Technology and Society (ICTAS)},
  pages={1--6},
  year={2025},
  organization={IEEE}
}</t>
  </si>
  <si>
    <t>Microwave Imaging</t>
  </si>
  <si>
    <t>\cite{yu2025biacandet} proposes a lightweight space–time attention network for classifying breast tissue from bioelectrical impedance signals, combining 1D convolutions, BiLSTM temporal modeling, and an impedance phase enhancement attention (IPEA) module to capture discriminative signal patterns. and is further validated on Jetson Nano and Raspberry Pi 4B, demonstrating practical edge-deployment potential.</t>
  </si>
  <si>
    <t>@article{yu2025biacandet,
  title={BiaCanDet: bioelectrical impedance analysis for breast cancer detection with space--time attention neural network},
  author={Yu, Feng and Xiao, Zhiyong and Liu, Li and Liu, Kan and Tang, Man and Jiang, Minghua and Hou, Jinxuan},
  journal={Expert Systems with Applications},
  volume={269},
  pages={126223},
  year={2025},
  publisher={Elsevier}
}</t>
  </si>
  <si>
    <t>knowledge distillation</t>
  </si>
  <si>
    <t>\cite{sarang2025detects} a compact sequential CNN with batch normalization and dropout</t>
  </si>
  <si>
    <t>@inproceedings{sarang2025detects,
  title={Detects effective deep learning based breast cancer using lite fine-tune convolution neural network},
  author={Sarang, Ruvanshi and Patidar, Mukesh and Shah, Arpit},
  booktitle={Parul University International Conference on Engineering and Technology 2025 (PiCET 2025)},
  volume={2025},
  pages={222--227},
  year={2025},
  organization={IET}
}</t>
  </si>
  <si>
    <t>\cite{ur2025radiomic} combines a radiomic 2D V-Net with quantization, pruning, and operator fusion for consumer-device deployment</t>
  </si>
  <si>
    <t>@article{ur2025radiomic,
  title={Radiomic V-Net Deep Learning Architecture for Breast Cancer Prediction Deployed on Medical Consumer Electronics},
  author={ur Rehman, Khalil and Tian, Yibin and Li, Jianqiang and Yasin, Anaa and Jabbar, Ayesha and Shin, Jungpil and Al-Shamri, Mohammad Yahya H and Ullah, Inam},
  journal={IEEE Transactions on Consumer Electronics},
  year={2025},
  publisher={IEEE}
}</t>
  </si>
  <si>
    <t>Gupta \cite{gupta2025reducing} Uses Stable Diffusion augmentation and a hybrid ResNet50 + XGBoost pipeline, and demonstrates feasibility through an iOS prototype for low-resource settings.</t>
  </si>
  <si>
    <t>@inproceedings{gupta2025reducing,
  title={Reducing Global Breast Cancer Mortality with Early, Low-Cost Diagnosis Using Generative AI and Hybrid DL Architecture},
  author={Gupta, Disha},
  booktitle={2025 IEEE Conference on Artificial Intelligence (CAI)},
  pages={488--494},
  year={2025},
  organization={IEEE}
}</t>
  </si>
  <si>
    <t>\cite{ahmed2025zero}</t>
  </si>
  <si>
    <t>\cite {ahmed2025zero} proposes ZK-FedTransformer++, a privacy-preserving federated-learning framework that combines TinyViT, zk-SNARK verification, and differential privacy for mammogram analysis</t>
  </si>
  <si>
    <t xml:space="preserve">@inproceedings{ahmed2025zero,
  title={Zero-Knowledge AI Enhancing Data Privacy in Federated Learning Models},
  author={Ahmed, Shakeb and Ahmad, Waseem Akhtar Khursheed and Suneel, Sajja and Bhatia, Manpreet Kaur and Singh, Shweta and others},
  booktitle={2025 4th International Conference on Innovative Mechanisms for Industry Applications (ICIMIA)},
  pages={1716--1722},
  year={2025},
  organization={IEEE}
}
</t>
  </si>
  <si>
    <t>a3, narrative</t>
  </si>
  <si>
    <t>\cite{dahham2025new}</t>
  </si>
  <si>
    <t>multi-disease IoT study combined CNN–attention LSTM feature extraction with PCA and GOA-based feature selection, showing that dimensionality reduction and wrapper-based feature optimization can improve diagnostic efficiency</t>
  </si>
  <si>
    <t>PEFT</t>
  </si>
  <si>
    <t xml:space="preserve">@article{dahham2025new,
  title={A New Deep Model Structure with Two Phased Feature Selection for Disease Diagnosis in Smart Healthcare Systems.},
  author={Dahham, Abbas Abdulhussin and Ahmed, Waleed Khalid and Hussein, Rajaa Nori and Mohammed, Ayas Talib},
  journal={International Journal of Intelligent Engineering \&amp; Systems},
  volume={18},
  number={8},
  year={2025}
}
</t>
  </si>
  <si>
    <t>b4, WDBC narrative</t>
  </si>
  <si>
    <t>Clinical/Genomic</t>
  </si>
  <si>
    <t>\cite{taifi2025enhanced}</t>
  </si>
  <si>
    <t>shows that modest architectural refinements, such as partial layer freezing and GELU substitution, can noticeably improve mammographic classification performance across MIAS, DDSM, and INbreast, with benefits observed for both DenseNet variants and MobileNetV2.</t>
  </si>
  <si>
    <t>@article{taifi2025enhanced,
  title={Enhanced dl-based breast cancer diagnosis and classification using modified densenet-121, densenet-201, and mobilenetv2: Optimized architectures and refined activation functions},
  author={Taifi, Khaddouj and Sabbar, Yassine and Ardah, Hanin and Abdel-Aty, Abdel-Haleem},
  journal={IEEE Access},
  year={2025},
  publisher={IEEE}
}</t>
  </si>
  <si>
    <t>Hybrid (custom lightweight architecture+feature-efficient classical ML)</t>
  </si>
  <si>
    <t>\cite{yilmaz2025comparative}</t>
  </si>
  <si>
    <t>A recent large-scale comparison across BUSI and BACH showed that model effectiveness is modality-dependent: CNNs were generally stronger for ultrasound, whereas ViT-based models became more competitive on histology, with MobileNetV3-Large-100 remaining one of the best lightweight CNNs on BACH.</t>
  </si>
  <si>
    <t>@article{yilmaz2025comparative,
  title={A comparative study of advanced deep learning architectures for breast cancer classification on ultrasound and histological images},
  author={Y{\i}lmaz, Mustafa Tahsn and Algul, Enes and Pacal, Ishak},
  journal={Results in Engineering},
  pages={107600},
  year={2025},
  publisher={Elsevier}
}</t>
  </si>
  <si>
    <t>cite under modality-dependent backbone comparison</t>
  </si>
  <si>
    <t xml:space="preserve">Mammography
 </t>
  </si>
  <si>
    <t>Hybrid (custom lightweight architecture+quantization+pruning)</t>
  </si>
  <si>
    <t>INT 8 quantization, pruning</t>
  </si>
  <si>
    <t>Jetson Nano, Raspberry Pi 4, Snapdragon 865</t>
  </si>
  <si>
    <t xml:space="preserve">Ultrasound
 </t>
  </si>
  <si>
    <t>Hybrid (custom lightweight architecture+knowledge distillation)</t>
  </si>
  <si>
    <t>Hybrid (efficient backbone+workflow efficiency)</t>
  </si>
  <si>
    <t>† For detection  papers, Accuracy† denotes mAP@0.5; AUC† denotes mAP@0.5:0.95</t>
  </si>
  <si>
    <t>‡ For segmentation papers, Accuracy‡ denotes IoU/Jaccard and F1‡ denotes Dice (DSC).</t>
  </si>
  <si>
    <t>Hybrid (efficient backbone+feature-efficient classical ML)</t>
  </si>
  <si>
    <t>A1 = Custom lightweight CNN design (separable/factorized/bottlenecks/GAP, etc.)
A2 = Efficient backbone (mobile/compact nets like MobileNet, SqueezeNet, etc.)
A3 = Efficient attention / CNN–Transformer architecture (MobileViT, CCT, DCT-attention, etc.)
B1 = ROI/patch selection &amp; cascaded pipelines (multi-stage inference reduction)
B2 = QC/filtering before diagnosis (artifact/tissue filtering, pre-filtering)
B3 = Annotation-efficient learning (active learning, human-in-loop labeling)
B4 = Feature efficient classical ML
C1/C2/C3 = Quantization/Pruning/Knowledge Distillation</t>
  </si>
  <si>
    <t>Hybrid (efficient attention / transformer-based+workflow efficiency)</t>
  </si>
  <si>
    <t>Tags:
Task: CLS = classification, DET = detection, WSI = whole-slide / multi-stage WSI pipeline, TAB = tabular (non-imaging)
Time: E2E = end-to-end latency reported, IT = inference time reported
Efficiency evidence: P = parameters reported, F = FLOPs/GFLOPs reported, M = memory/model size reported
Training strategy: TL (transfer learning / pretrained weights)</t>
  </si>
  <si>
    <t>Hybrid (workflow efficiency + custom lightweight architecture)</t>
  </si>
  <si>
    <t>Key</t>
  </si>
  <si>
    <t>Hybrid(custom lightweight architecture+pruning+quantization)</t>
  </si>
  <si>
    <t>PYNQ-Z2 FPGA, Android device</t>
  </si>
  <si>
    <t>Modu et al. (2025)</t>
  </si>
  <si>
    <t>Knowledge-distillation</t>
  </si>
  <si>
    <t>cytology</t>
  </si>
  <si>
    <t>87% fewer trainable parameters than conventional deep models</t>
  </si>
  <si>
    <r>
      <rPr>
        <rFont val="Arial"/>
        <b/>
        <color theme="1"/>
      </rPr>
      <t>Survey or comparison paper:</t>
    </r>
    <r>
      <rPr>
        <rFont val="Arial"/>
        <color theme="1"/>
      </rPr>
      <t xml:space="preserve"> It will help use gain insight or drive our point home.</t>
    </r>
  </si>
  <si>
    <t>NR, 12% RAM usage on Raspberry Pi 4B</t>
  </si>
  <si>
    <t>KD; teacher-student; lightweight CNN; resource-constrained; Raspberry Pi 4B; onsite inference; telemedicine; LMIC</t>
  </si>
  <si>
    <t>Yes</t>
  </si>
  <si>
    <t>Raspberry Pi 4B</t>
  </si>
  <si>
    <t>10-fold cross-validation on WDBC; additional train/validation evaluation on WDBC, PBCNT, and BCDB; no external validation</t>
  </si>
  <si>
    <t>No</t>
  </si>
  <si>
    <r>
      <rPr>
        <rFont val="Arial"/>
        <b/>
        <color theme="1"/>
      </rPr>
      <t>Feature selection papers:</t>
    </r>
    <r>
      <rPr>
        <rFont val="Arial"/>
        <color theme="1"/>
      </rPr>
      <t xml:space="preserve"> They are not ML models; we keep track to see whether we can use them.</t>
    </r>
  </si>
  <si>
    <t>Read full text to filter</t>
  </si>
  <si>
    <t>Full Meaning</t>
  </si>
  <si>
    <t>bib</t>
  </si>
  <si>
    <t>Breast Cancer Histology</t>
  </si>
  <si>
    <t>BRACS</t>
  </si>
  <si>
    <t>Breast Carcinoma Subtyping</t>
  </si>
  <si>
    <t>Breast Cancer Histopathological Image</t>
  </si>
  <si>
    <t>Cancer Metastases in Lymph Nodes Challenge 2016</t>
  </si>
  <si>
    <t>ICIAR 2018</t>
  </si>
  <si>
    <t>International Conference on Image Analysis and Recognition 2018 Breast Histology Dataset</t>
  </si>
  <si>
    <t>International Conference on Pattern Recognition 2012 Mitosis Detection Dataset</t>
  </si>
  <si>
    <t>Invasive Ductal Carcinoma</t>
  </si>
  <si>
    <t>PatchCamelyon (PCam)</t>
  </si>
  <si>
    <t>Patch Camelyon</t>
  </si>
  <si>
    <t>The Cancer Genome Atlas</t>
  </si>
  <si>
    <t>Curated Breast Imaging Subset of the Digital Database for Screening Mammography</t>
  </si>
  <si>
    <t>Chinese Mammography Database</t>
  </si>
  <si>
    <t>DDSM</t>
  </si>
  <si>
    <t>Digital Database for Screening Mammography</t>
  </si>
  <si>
    <t>INbreast Full-Field Digital Mammography Database</t>
  </si>
  <si>
    <t>Mammographic Image Analysis Society Database</t>
  </si>
  <si>
    <t>MBMI</t>
  </si>
  <si>
    <t>Mendeley Breast Mass Images</t>
  </si>
  <si>
    <t>RSNA</t>
  </si>
  <si>
    <t>Radiological Society of North America Breast Cancer Detection Dataset</t>
  </si>
  <si>
    <t>Breast Cancer Screening – Digital Breast Tomosynthesis</t>
  </si>
  <si>
    <t>Breast Ultrasound Images</t>
  </si>
  <si>
    <t>\cite{al2020dataset}</t>
  </si>
  <si>
    <t>@article{al2020dataset,
  title={Dataset of breast ultrasound images},
  author={Al-Dhabyani, Walid and Gomaa, Mohammed and Khaled, Hussien and Fahmy, Aly},
  journal={Data in brief},
  volume={28},
  pages={104863},
  year={2020},
  publisher={Elsevier}
}</t>
  </si>
  <si>
    <t>BUS-BRA</t>
  </si>
  <si>
    <t xml:space="preserve">Breast Ultrasound Dataset </t>
  </si>
  <si>
    <t>\cite{gomez2024bus}</t>
  </si>
  <si>
    <t xml:space="preserve">@article{gomez2024bus,
  title={BUS-BRA: A breast ultrasound dataset for assessing computer-aided diagnosis systems},
  author={G{\'o}mez-Flores, Wilfrido and Gregorio-Calas, Maria Julia and Coelho de Albuquerque Pereira, Wagner},
  journal={Medical physics},
  volume={51},
  number={4},
  pages={3110--3123},
  year={2024},
  publisher={Wiley Online Library}
}
</t>
  </si>
  <si>
    <t>BUET</t>
  </si>
  <si>
    <t>Bangladesh University of Engineering and Technology Breast Ultrasound Dataset</t>
  </si>
  <si>
    <t>PKU-BUS</t>
  </si>
  <si>
    <t>Peking University Breast Ultrasound Dataset</t>
  </si>
  <si>
    <t>Multi-dataset</t>
  </si>
  <si>
    <t>Dynamic Contrast-Enhanced Magnetic Resonance Imaging</t>
  </si>
  <si>
    <t>Digital Medical Repository – Infrared Thermography</t>
  </si>
  <si>
    <t>Wisconsin Diagnostic Breast Cancer</t>
  </si>
  <si>
    <t>Fine Needle Aspiration Cytology</t>
  </si>
  <si>
    <t>Molecular Taxonomy of Breast Cancer International Consortium</t>
  </si>
  <si>
    <t>University of Manitoba Breast Microwave Imaging Dataset</t>
  </si>
  <si>
    <t>Bioelectrical Impedance Analysis for Breast Cancer</t>
  </si>
  <si>
    <t>PINUM</t>
  </si>
  <si>
    <t>Punjab Institute of Nuclear Medicine Dataset</t>
  </si>
  <si>
    <t>BIRADS-2023v1 / Dataset B</t>
  </si>
  <si>
    <t>Breast Imaging Reporting and Data System (BI-RADS) 2023 Version 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</si>
</sst>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mm"/>
    <numFmt numFmtId="165" formatCode="d-mmm"/>
    <numFmt numFmtId="166" formatCode="0.0000"/>
  </numFmts>
  <fonts count="30">
    <font>
      <sz val="10.0"/>
      <color rgb="FF000000"/>
      <name val="Arial"/>
      <scheme val="minor"/>
    </font>
    <font>
      <color theme="1"/>
      <name val="Arial"/>
      <scheme val="minor"/>
    </font>
    <font>
      <sz val="11.0"/>
      <color rgb="FF000000"/>
      <name val="Calibri"/>
    </font>
    <font>
      <sz val="8.0"/>
      <color theme="1"/>
      <name val="&quot;Liberation Sans&quot;"/>
    </font>
    <font>
      <u/>
      <sz val="11.0"/>
      <color rgb="FF000000"/>
      <name val="Calibri"/>
    </font>
    <font>
      <u/>
      <sz val="8.0"/>
      <color rgb="FF0000FF"/>
      <name val="&quot;Liberation Sans&quot;"/>
    </font>
    <font>
      <sz val="8.0"/>
      <color rgb="FF000000"/>
      <name val="&quot;Liberation Sans&quot;"/>
    </font>
    <font>
      <sz val="8.0"/>
      <color rgb="FF000000"/>
      <name val="Arial"/>
    </font>
    <font>
      <sz val="8.0"/>
      <color rgb="FFFF00FF"/>
      <name val="&quot;Liberation Sans&quot;"/>
    </font>
    <font>
      <sz val="8.0"/>
      <color theme="1"/>
      <name val="Arial"/>
    </font>
    <font>
      <u/>
      <sz val="11.0"/>
      <color rgb="FF000000"/>
      <name val="Calibri"/>
    </font>
    <font>
      <u/>
      <sz val="11.0"/>
      <color rgb="FF000000"/>
      <name val="Calibri"/>
    </font>
    <font>
      <sz val="11.0"/>
      <color rgb="FFFF0000"/>
      <name val="Calibri"/>
    </font>
    <font>
      <b/>
      <sz val="11.0"/>
      <color rgb="FF9900FF"/>
      <name val="Calibri"/>
    </font>
    <font>
      <b/>
      <color rgb="FF9900FF"/>
      <name val="Arial"/>
      <scheme val="minor"/>
    </font>
    <font>
      <b/>
      <sz val="11.0"/>
      <color rgb="FF38761D"/>
      <name val="Calibri"/>
    </font>
    <font>
      <sz val="8.0"/>
      <color rgb="FFFF00FF"/>
      <name val="Arial"/>
    </font>
    <font>
      <color rgb="FF000000"/>
      <name val="Arial"/>
    </font>
    <font>
      <sz val="8.0"/>
      <color rgb="FFFF0000"/>
      <name val="&quot;Liberation Sans&quot;"/>
    </font>
    <font>
      <color rgb="FF000000"/>
      <name val="&quot;Arial&quot;"/>
    </font>
    <font>
      <sz val="9.0"/>
      <color rgb="FF000000"/>
      <name val="Arial"/>
    </font>
    <font>
      <sz val="11.0"/>
      <color theme="1"/>
      <name val="Sans-serif"/>
    </font>
    <font>
      <sz val="11.0"/>
      <color theme="1"/>
      <name val="Arial"/>
    </font>
    <font>
      <color rgb="FF000000"/>
      <name val="Arial"/>
      <scheme val="minor"/>
    </font>
    <font>
      <i/>
      <color theme="1"/>
      <name val="Arial"/>
      <scheme val="minor"/>
    </font>
    <font>
      <u/>
      <sz val="11.0"/>
      <color rgb="FF000000"/>
      <name val="Calibri"/>
    </font>
    <font>
      <u/>
      <sz val="11.0"/>
      <color rgb="FF000000"/>
      <name val="Calibri"/>
    </font>
    <font>
      <color rgb="FF000000"/>
      <name val="'Arial'"/>
    </font>
    <font>
      <color theme="1"/>
      <name val="Arial"/>
    </font>
    <font>
      <b/>
      <color theme="1"/>
      <name val="Arial"/>
      <scheme val="minor"/>
    </font>
  </fonts>
  <fills count="9">
    <fill>
      <patternFill patternType="none"/>
    </fill>
    <fill>
      <patternFill patternType="lightGray"/>
    </fill>
    <fill>
      <patternFill patternType="solid">
        <fgColor rgb="FFCCCCCC"/>
        <bgColor rgb="FFCCCCCC"/>
      </patternFill>
    </fill>
    <fill>
      <patternFill patternType="solid">
        <fgColor rgb="FFD9EAD3"/>
        <bgColor rgb="FFD9EAD3"/>
      </patternFill>
    </fill>
    <fill>
      <patternFill patternType="solid">
        <fgColor rgb="FFFFFFFF"/>
        <bgColor rgb="FFFFFFFF"/>
      </patternFill>
    </fill>
    <fill>
      <patternFill patternType="solid">
        <fgColor rgb="FFFF0000"/>
        <bgColor rgb="FFFF0000"/>
      </patternFill>
    </fill>
    <fill>
      <patternFill patternType="solid">
        <fgColor rgb="FFFF00FF"/>
        <bgColor rgb="FFFF00FF"/>
      </patternFill>
    </fill>
    <fill>
      <patternFill patternType="solid">
        <fgColor rgb="FFD9D2E9"/>
        <bgColor rgb="FFD9D2E9"/>
      </patternFill>
    </fill>
    <fill>
      <patternFill patternType="solid">
        <fgColor theme="0"/>
        <bgColor theme="0"/>
      </patternFill>
    </fill>
  </fills>
  <borders count="1">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3" numFmtId="0" xfId="0" applyAlignment="1" applyFont="1">
      <alignment horizontal="left" readingOrder="0"/>
    </xf>
    <xf borderId="0" fillId="0" fontId="3" numFmtId="0" xfId="0" applyAlignment="1" applyFont="1">
      <alignment horizontal="left"/>
    </xf>
    <xf borderId="0" fillId="0" fontId="3" numFmtId="0" xfId="0" applyAlignment="1" applyFont="1">
      <alignment horizontal="right" readingOrder="0"/>
    </xf>
    <xf borderId="0" fillId="0" fontId="1" numFmtId="0" xfId="0" applyFont="1"/>
    <xf borderId="0" fillId="0" fontId="2" numFmtId="0" xfId="0" applyAlignment="1" applyFont="1">
      <alignment horizontal="right" readingOrder="0" shrinkToFit="0" vertical="bottom" wrapText="0"/>
    </xf>
    <xf borderId="0" fillId="0" fontId="2" numFmtId="0" xfId="0" applyAlignment="1" applyFont="1">
      <alignment shrinkToFit="0" vertical="bottom" wrapText="0"/>
    </xf>
    <xf borderId="0" fillId="0" fontId="4" numFmtId="0" xfId="0" applyAlignment="1" applyFont="1">
      <alignment readingOrder="0" shrinkToFit="0" vertical="bottom" wrapText="0"/>
    </xf>
    <xf borderId="0" fillId="0" fontId="5" numFmtId="0" xfId="0" applyAlignment="1" applyFont="1">
      <alignment horizontal="left" readingOrder="0"/>
    </xf>
    <xf borderId="0" fillId="0" fontId="6" numFmtId="0" xfId="0" applyAlignment="1" applyFont="1">
      <alignment horizontal="left" readingOrder="0"/>
    </xf>
    <xf borderId="0" fillId="0" fontId="7" numFmtId="0" xfId="0" applyAlignment="1" applyFont="1">
      <alignment horizontal="left" readingOrder="0"/>
    </xf>
    <xf borderId="0" fillId="0" fontId="8" numFmtId="0" xfId="0" applyAlignment="1" applyFont="1">
      <alignment horizontal="left" readingOrder="0"/>
    </xf>
    <xf borderId="0" fillId="2" fontId="2" numFmtId="0" xfId="0" applyAlignment="1" applyFill="1" applyFont="1">
      <alignment readingOrder="0" shrinkToFit="0" vertical="bottom" wrapText="0"/>
    </xf>
    <xf borderId="0" fillId="2" fontId="2" numFmtId="0" xfId="0" applyAlignment="1" applyFill="1" applyFont="1">
      <alignment horizontal="right" readingOrder="0" shrinkToFit="0" vertical="bottom" wrapText="0"/>
    </xf>
    <xf borderId="0" fillId="0" fontId="9" numFmtId="0" xfId="0" applyAlignment="1" applyFont="1">
      <alignment horizontal="left" readingOrder="0"/>
    </xf>
    <xf borderId="0" fillId="2" fontId="10" numFmtId="0" xfId="0" applyAlignment="1" applyFill="1" applyFont="1">
      <alignment readingOrder="0" shrinkToFit="0" vertical="bottom" wrapText="0"/>
    </xf>
    <xf borderId="0" fillId="2" fontId="1" numFmtId="0" xfId="0" applyAlignment="1" applyFill="1" applyFont="1">
      <alignment readingOrder="0"/>
    </xf>
    <xf borderId="0" fillId="2" fontId="1" numFmtId="0" xfId="0" applyFill="1" applyFont="1"/>
    <xf borderId="0" fillId="3" fontId="2" numFmtId="0" xfId="0" applyAlignment="1" applyFill="1" applyFont="1">
      <alignment readingOrder="0" shrinkToFit="0" vertical="bottom" wrapText="0"/>
    </xf>
    <xf borderId="0" fillId="3" fontId="2" numFmtId="0" xfId="0" applyAlignment="1" applyFill="1" applyFont="1">
      <alignment horizontal="right" readingOrder="0" shrinkToFit="0" vertical="bottom" wrapText="0"/>
    </xf>
    <xf borderId="0" fillId="3" fontId="11" numFmtId="0" xfId="0" applyAlignment="1" applyFill="1" applyFont="1">
      <alignment readingOrder="0" shrinkToFit="0" vertical="bottom" wrapText="0"/>
    </xf>
    <xf borderId="0" fillId="3" fontId="1" numFmtId="0" xfId="0" applyAlignment="1" applyFill="1" applyFont="1">
      <alignment readingOrder="0"/>
    </xf>
    <xf borderId="0" fillId="3" fontId="1" numFmtId="0" xfId="0" applyFill="1" applyFont="1"/>
    <xf borderId="0" fillId="0" fontId="12" numFmtId="0" xfId="0" applyAlignment="1" applyFont="1">
      <alignment readingOrder="0" shrinkToFit="0" vertical="bottom" wrapText="0"/>
    </xf>
    <xf borderId="0" fillId="0" fontId="12" numFmtId="0" xfId="0" applyAlignment="1" applyFont="1">
      <alignment horizontal="right" readingOrder="0" shrinkToFit="0" vertical="bottom" wrapText="0"/>
    </xf>
    <xf borderId="0" fillId="0" fontId="13" numFmtId="0" xfId="0" applyAlignment="1" applyFont="1">
      <alignment readingOrder="0" shrinkToFit="0" vertical="bottom" wrapText="0"/>
    </xf>
    <xf borderId="0" fillId="0" fontId="13" numFmtId="0" xfId="0" applyAlignment="1" applyFont="1">
      <alignment horizontal="right" readingOrder="0" shrinkToFit="0" vertical="bottom" wrapText="0"/>
    </xf>
    <xf borderId="0" fillId="0" fontId="14" numFmtId="0" xfId="0" applyAlignment="1" applyFont="1">
      <alignment readingOrder="0"/>
    </xf>
    <xf borderId="0" fillId="0" fontId="15" numFmtId="0" xfId="0" applyAlignment="1" applyFont="1">
      <alignment readingOrder="0" shrinkToFit="0" vertical="bottom" wrapText="0"/>
    </xf>
    <xf borderId="0" fillId="0" fontId="16" numFmtId="0" xfId="0" applyAlignment="1" applyFont="1">
      <alignment horizontal="left" readingOrder="0"/>
    </xf>
    <xf borderId="0" fillId="0" fontId="1" numFmtId="0" xfId="0" applyAlignment="1" applyFont="1">
      <alignment horizontal="center" readingOrder="0" vertical="center"/>
    </xf>
    <xf borderId="0" fillId="0" fontId="1" numFmtId="0" xfId="0" applyAlignment="1" applyFont="1">
      <alignment readingOrder="0" shrinkToFit="0" vertical="top" wrapText="1"/>
    </xf>
    <xf borderId="0" fillId="4" fontId="17" numFmtId="0" xfId="0" applyAlignment="1" applyFill="1" applyFont="1">
      <alignment horizontal="lef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wrapText="1"/>
    </xf>
    <xf borderId="0" fillId="0" fontId="18" numFmtId="0" xfId="0" applyAlignment="1" applyFont="1">
      <alignment horizontal="left" readingOrder="0"/>
    </xf>
    <xf borderId="0" fillId="0" fontId="1" numFmtId="0" xfId="0" applyAlignment="1" applyFont="1">
      <alignment readingOrder="0" vertical="top"/>
    </xf>
    <xf borderId="0" fillId="0" fontId="19" numFmtId="0" xfId="0" applyAlignment="1" applyFont="1">
      <alignment readingOrder="0" shrinkToFit="0" wrapText="1"/>
    </xf>
    <xf borderId="0" fillId="0" fontId="1" numFmtId="0" xfId="0" applyAlignment="1" applyFont="1">
      <alignment horizontal="center" vertical="center"/>
    </xf>
    <xf borderId="0" fillId="4" fontId="1" numFmtId="0" xfId="0" applyAlignment="1" applyFill="1" applyFont="1">
      <alignment readingOrder="0"/>
    </xf>
    <xf borderId="0" fillId="4" fontId="20" numFmtId="0" xfId="0" applyAlignment="1" applyFill="1" applyFont="1">
      <alignment horizontal="left" readingOrder="0"/>
    </xf>
    <xf borderId="0" fillId="0" fontId="1" numFmtId="0" xfId="0" applyAlignment="1" applyFont="1">
      <alignment shrinkToFit="0" wrapText="1"/>
    </xf>
    <xf borderId="0" fillId="4" fontId="21" numFmtId="0" xfId="0" applyAlignment="1" applyFill="1" applyFont="1">
      <alignment readingOrder="0"/>
    </xf>
    <xf borderId="0" fillId="4" fontId="22" numFmtId="0" xfId="0" applyAlignment="1" applyFill="1" applyFont="1">
      <alignment readingOrder="0"/>
    </xf>
    <xf borderId="0" fillId="0" fontId="1" numFmtId="0" xfId="0" applyAlignment="1" applyFont="1">
      <alignment readingOrder="0"/>
    </xf>
    <xf borderId="0" fillId="5" fontId="23" numFmtId="0" xfId="0" applyAlignment="1" applyFill="1" applyFont="1">
      <alignment readingOrder="0"/>
    </xf>
    <xf borderId="0" fillId="4" fontId="17" numFmtId="0" xfId="0" applyAlignment="1" applyFill="1" applyFont="1">
      <alignment horizontal="left" readingOrder="0"/>
    </xf>
    <xf borderId="0" fillId="0" fontId="1" numFmtId="0" xfId="0" applyAlignment="1" applyFont="1">
      <alignment horizontal="right" readingOrder="0"/>
    </xf>
    <xf borderId="0" fillId="0" fontId="24" numFmtId="0" xfId="0" applyAlignment="1" applyFont="1">
      <alignment readingOrder="0"/>
    </xf>
    <xf borderId="0" fillId="6" fontId="1" numFmtId="0" xfId="0" applyAlignment="1" applyFill="1" applyFont="1">
      <alignment readingOrder="0"/>
    </xf>
    <xf borderId="0" fillId="4" fontId="7" numFmtId="0" xfId="0" applyAlignment="1" applyFill="1" applyFont="1">
      <alignment horizontal="left" readingOrder="0" vertical="top"/>
    </xf>
    <xf borderId="0" fillId="0" fontId="1" numFmtId="0" xfId="0" applyAlignment="1" applyFont="1">
      <alignment vertical="top"/>
    </xf>
    <xf borderId="0" fillId="6" fontId="2" numFmtId="0" xfId="0" applyAlignment="1" applyFill="1" applyFont="1">
      <alignment readingOrder="0" shrinkToFit="0" vertical="bottom" wrapText="0"/>
    </xf>
    <xf borderId="0" fillId="6" fontId="2" numFmtId="0" xfId="0" applyAlignment="1" applyFill="1" applyFont="1">
      <alignment horizontal="right" readingOrder="0" shrinkToFit="0" vertical="bottom" wrapText="0"/>
    </xf>
    <xf borderId="0" fillId="6" fontId="25" numFmtId="0" xfId="0" applyAlignment="1" applyFill="1" applyFont="1">
      <alignment readingOrder="0" shrinkToFit="0" vertical="bottom" wrapText="0"/>
    </xf>
    <xf borderId="0" fillId="6" fontId="1" numFmtId="0" xfId="0" applyFill="1" applyFont="1"/>
    <xf borderId="0" fillId="0" fontId="2" numFmtId="164" xfId="0" applyAlignment="1" applyFont="1" applyNumberFormat="1">
      <alignment readingOrder="0" shrinkToFit="0" vertical="bottom" wrapText="0"/>
    </xf>
    <xf borderId="0" fillId="0" fontId="2" numFmtId="165" xfId="0" applyAlignment="1" applyFont="1" applyNumberFormat="1">
      <alignment horizontal="right" readingOrder="0" shrinkToFit="0" vertical="bottom" wrapText="0"/>
    </xf>
    <xf borderId="0" fillId="0" fontId="1" numFmtId="2" xfId="0" applyAlignment="1" applyFont="1" applyNumberFormat="1">
      <alignment readingOrder="0"/>
    </xf>
    <xf borderId="0" fillId="0" fontId="1" numFmtId="2" xfId="0" applyAlignment="1" applyFont="1" applyNumberFormat="1">
      <alignment readingOrder="0" shrinkToFit="0" wrapText="1"/>
    </xf>
    <xf borderId="0" fillId="0" fontId="1" numFmtId="166" xfId="0" applyAlignment="1" applyFont="1" applyNumberFormat="1">
      <alignment readingOrder="0"/>
    </xf>
    <xf borderId="0" fillId="0" fontId="1" numFmtId="166" xfId="0" applyAlignment="1" applyFont="1" applyNumberFormat="1">
      <alignment readingOrder="0" shrinkToFit="0" wrapText="1"/>
    </xf>
    <xf borderId="0" fillId="4" fontId="21" numFmtId="2" xfId="0" applyAlignment="1" applyFill="1" applyFont="1" applyNumberFormat="1">
      <alignment readingOrder="0"/>
    </xf>
    <xf borderId="0" fillId="4" fontId="22" numFmtId="2" xfId="0" applyAlignment="1" applyFill="1" applyFont="1" applyNumberFormat="1">
      <alignment readingOrder="0"/>
    </xf>
    <xf borderId="0" fillId="0" fontId="1" numFmtId="2" xfId="0" applyFont="1" applyNumberFormat="1"/>
    <xf borderId="0" fillId="7" fontId="2" numFmtId="0" xfId="0" applyAlignment="1" applyFill="1" applyFont="1">
      <alignment readingOrder="0" shrinkToFit="0" vertical="bottom" wrapText="0"/>
    </xf>
    <xf borderId="0" fillId="7" fontId="2" numFmtId="0" xfId="0" applyAlignment="1" applyFill="1" applyFont="1">
      <alignment horizontal="right" readingOrder="0" shrinkToFit="0" vertical="bottom" wrapText="0"/>
    </xf>
    <xf borderId="0" fillId="0" fontId="1" numFmtId="166" xfId="0" applyFont="1" applyNumberFormat="1"/>
    <xf borderId="0" fillId="7" fontId="26" numFmtId="0" xfId="0" applyAlignment="1" applyFill="1" applyFont="1">
      <alignment readingOrder="0" shrinkToFit="0" vertical="bottom" wrapText="0"/>
    </xf>
    <xf borderId="0" fillId="7" fontId="1" numFmtId="0" xfId="0" applyAlignment="1" applyFill="1" applyFont="1">
      <alignment readingOrder="0"/>
    </xf>
    <xf borderId="0" fillId="7" fontId="1" numFmtId="0" xfId="0" applyFill="1" applyFont="1"/>
    <xf borderId="0" fillId="8" fontId="2" numFmtId="0" xfId="0" applyAlignment="1" applyFill="1" applyFont="1">
      <alignment readingOrder="0" shrinkToFit="0" vertical="bottom" wrapText="0"/>
    </xf>
    <xf borderId="0" fillId="0" fontId="1" numFmtId="4" xfId="0" applyAlignment="1" applyFont="1" applyNumberFormat="1">
      <alignment readingOrder="0"/>
    </xf>
    <xf borderId="0" fillId="0" fontId="1" numFmtId="0" xfId="0" applyAlignment="1" applyFont="1">
      <alignment readingOrder="0" vertical="center"/>
    </xf>
    <xf borderId="0" fillId="0" fontId="1" numFmtId="0" xfId="0" applyAlignment="1" applyFont="1">
      <alignment horizontal="right" readingOrder="0" shrinkToFit="0" wrapText="1"/>
    </xf>
    <xf borderId="0" fillId="0" fontId="1" numFmtId="0" xfId="0" applyAlignment="1" applyFont="1">
      <alignment readingOrder="0" shrinkToFit="0" vertical="center" wrapText="1"/>
    </xf>
    <xf borderId="0" fillId="0" fontId="1" numFmtId="0" xfId="0" applyAlignment="1" applyFont="1">
      <alignment horizontal="right"/>
    </xf>
    <xf borderId="0" fillId="0" fontId="27" numFmtId="0" xfId="0" applyAlignment="1" applyFont="1">
      <alignment readingOrder="0"/>
    </xf>
    <xf borderId="0" fillId="0" fontId="1" numFmtId="0" xfId="0" applyAlignment="1" applyFont="1">
      <alignment horizontal="right" readingOrder="0" vertical="top"/>
    </xf>
    <xf borderId="0" fillId="0" fontId="1" numFmtId="0" xfId="0" applyAlignment="1" applyFont="1">
      <alignment horizontal="right" vertical="top"/>
    </xf>
    <xf borderId="0" fillId="0" fontId="28" numFmtId="0" xfId="0" applyAlignment="1" applyFont="1">
      <alignment readingOrder="0"/>
    </xf>
    <xf borderId="0" fillId="0" fontId="1" numFmtId="0" xfId="0" applyAlignment="1" applyFont="1">
      <alignment vertical="center"/>
    </xf>
    <xf borderId="0" fillId="0" fontId="1" numFmtId="0" xfId="0" applyAlignment="1" applyFont="1">
      <alignment shrinkToFit="0" vertical="center" wrapText="1"/>
    </xf>
    <xf borderId="0" fillId="0" fontId="1" numFmtId="0" xfId="0" applyAlignment="1" applyFont="1">
      <alignment horizontal="left" readingOrder="0"/>
    </xf>
    <xf borderId="0" fillId="0" fontId="1" numFmtId="9" xfId="0" applyAlignment="1" applyFont="1" applyNumberFormat="1">
      <alignment readingOrder="0"/>
    </xf>
    <xf borderId="0" fillId="0" fontId="29" numFmtId="0" xfId="0" applyAlignment="1" applyFont="1">
      <alignment horizontal="center" readingOrder="0"/>
    </xf>
    <xf borderId="0" fillId="0" fontId="29" numFmtId="0" xfId="0" applyAlignment="1" applyFont="1">
      <alignment horizontal="center" readingOrder="0" shrinkToFit="0" wrapText="1"/>
    </xf>
    <xf borderId="0" fillId="0" fontId="2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almata Modu" id="{35ff3b85-8686-4035-987e-147ff6228021}" providerId="google-sheets"/>
  <x18tc:person displayName="Farouq Muhammad Aliyu" id="{0dd6189e-d4b9-4f32-9c3c-7f2da68a562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42" dT="2025-12-26T20:19:17.00" personId="{0dd6189e-d4b9-4f32-9c3c-7f2da68a562a}" id="{f036f2df-1014-4934-8eb2-cfe8160b7f61}" done="0">
    <x18tc:text xml:space="preserve">Model not lightweight</x18tc:text>
  </x18tc:threadedComment>
  <x18tc:threadedComment ref="F70" dT="2025-12-21T09:51:51.00" personId="{0dd6189e-d4b9-4f32-9c3c-7f2da68a562a}" id="{0117bbff-d3fe-4c28-bd9f-9a9323549bc5}" done="0">
    <x18tc:text xml:space="preserve">Paper is on skin cancer.</x18tc:text>
  </x18tc:threadedComment>
  <x18tc:threadedComment ref="F71" dT="2025-12-26T19:50:17.00" personId="{0dd6189e-d4b9-4f32-9c3c-7f2da68a562a}" id="{cf3f578f-e640-4246-9387-fb60827088e3}" done="0">
    <x18tc:text xml:space="preserve">“Lightweight” refers to the dataset, not the model.</x18tc:text>
  </x18tc:threadedComment>
  <x18tc:threadedComment ref="F133" dT="2025-12-26T20:17:39.00" personId="{0dd6189e-d4b9-4f32-9c3c-7f2da68a562a}" id="{d5d0590e-af57-44c2-aa06-bd0b4912ec12}" done="0">
    <x18tc:text xml:space="preserve">Antenna not lightweight model</x18tc:text>
  </x18tc:threadedComment>
  <x18tc:threadedComment ref="F66" dT="2025-12-21T10:18:26.00" personId="{0dd6189e-d4b9-4f32-9c3c-7f2da68a562a}" id="{e47bde68-1e16-40dc-ba6b-433649ed58c9}" done="0">
    <x18tc:text xml:space="preserve">This is a sensor, not an ML model</x18tc:text>
  </x18tc:threadedComment>
  <x18tc:threadedComment ref="F85" dT="2025-12-21T09:46:34.00" personId="{0dd6189e-d4b9-4f32-9c3c-7f2da68a562a}" id="{609c4967-752e-47a1-ac6b-7bd0487ce65b}" done="0">
    <x18tc:text xml:space="preserve">It is not lightweight system.</x18tc:text>
  </x18tc:threadedComment>
  <x18tc:threadedComment ref="F67" dT="2025-12-26T20:36:28.00" personId="{0dd6189e-d4b9-4f32-9c3c-7f2da68a562a}" id="{7e8be12d-0f78-4ff1-a523-8e1968631a66}" done="0">
    <x18tc:text xml:space="preserve">Review on imaging techniques</x18tc:text>
  </x18tc:threadedComment>
  <x18tc:threadedComment ref="F159" dT="2025-12-26T20:28:33.00" personId="{0dd6189e-d4b9-4f32-9c3c-7f2da68a562a}" id="{f42f743c-d34c-4f34-859a-cb8f123303a8}" done="0">
    <x18tc:text xml:space="preserve">Only some components are lightweight. Not the overall model.</x18tc:text>
  </x18tc:threadedComment>
  <x18tc:threadedComment ref="F69" dT="2025-12-26T14:03:49.00" personId="{0dd6189e-d4b9-4f32-9c3c-7f2da68a562a}" id="{ff4c76e2-7c11-41aa-9838-0c14753ca221}" done="0">
    <x18tc:text xml:space="preserve">Microwave antenna</x18tc:text>
  </x18tc:threadedComment>
  <x18tc:threadedComment ref="F69" dT="2025-12-26T20:37:22.00" personId="{0dd6189e-d4b9-4f32-9c3c-7f2da68a562a}" id="{69f89961-2928-4ba6-9053-dcc0972309ad}" parentId="{ff4c76e2-7c11-41aa-9838-0c14753ca221}">
    <x18tc:text xml:space="preserve">It is a review</x18tc:text>
  </x18tc:threadedComment>
  <x18tc:threadedComment ref="F73" dT="2025-12-26T14:06:08.00" personId="{0dd6189e-d4b9-4f32-9c3c-7f2da68a562a}" id="{68ef3f12-f443-4a7c-9161-f3c650cef2d2}" done="0">
    <x18tc:text xml:space="preserve">Sensor/Antenna not AI</x18tc:text>
  </x18tc:threadedComment>
  <x18tc:threadedComment ref="F28" dT="2025-12-26T15:37:26.00" personId="{0dd6189e-d4b9-4f32-9c3c-7f2da68a562a}" id="{83f62337-a4a1-4363-a8b4-da7a7e1fc1dd}" done="0">
    <x18tc:text xml:space="preserve">Sensor not ML</x18tc:text>
  </x18tc:threadedComment>
  <x18tc:threadedComment ref="F76" dT="2025-12-26T14:07:21.00" personId="{0dd6189e-d4b9-4f32-9c3c-7f2da68a562a}" id="{07e2e214-aabb-40da-8795-c29ff0a65bd1}" done="0">
    <x18tc:text xml:space="preserve">Antenna not ML</x18tc:text>
  </x18tc:threadedComment>
  <x18tc:threadedComment ref="F100" dT="2025-12-21T06:25:05.00" personId="{0dd6189e-d4b9-4f32-9c3c-7f2da68a562a}" id="{dd633570-a770-438b-8023-9d3a2d772901}" done="0">
    <x18tc:text xml:space="preserve">Paper focuses on cancer postoperative rehabilitation, not BCD.</x18tc:text>
  </x18tc:threadedComment>
  <x18tc:threadedComment ref="F99" dT="2025-12-21T06:17:42.00" personId="{0dd6189e-d4b9-4f32-9c3c-7f2da68a562a}" id="{2c919692-cfb2-4b4f-83e8-d1544bc9f01c}" done="0">
    <x18tc:text xml:space="preserve">Paper presents a sensor, not an ML model.</x18tc:text>
  </x18tc:threadedComment>
  <x18tc:threadedComment ref="F132" dT="2025-12-20T11:49:40.00" personId="{0dd6189e-d4b9-4f32-9c3c-7f2da68a562a}" id="{76fcbda5-17ba-45f7-947e-fd4ea1a9d4ef}" done="0">
    <x18tc:text xml:space="preserve">Paper is about sensors not ML.</x18tc:text>
  </x18tc:threadedComment>
  <x18tc:threadedComment ref="F50" dT="2025-12-26T14:36:39.00" personId="{0dd6189e-d4b9-4f32-9c3c-7f2da68a562a}" id="{22b8802d-b806-4dac-bb4d-56939d8ee53a}" done="0">
    <x18tc:text xml:space="preserve">It is the sensor that is lightweight not ML</x18tc:text>
  </x18tc:threadedComment>
  <x18tc:threadedComment ref="F35" dT="2025-12-26T15:24:42.00" personId="{0dd6189e-d4b9-4f32-9c3c-7f2da68a562a}" id="{fef9a4f8-2035-4c2a-bc5e-e5321bd9e21f}" done="0">
    <x18tc:text xml:space="preserve">Review paper</x18tc:text>
  </x18tc:threadedComment>
  <x18tc:threadedComment ref="F140" dT="2025-12-20T11:54:25.00" personId="{0dd6189e-d4b9-4f32-9c3c-7f2da68a562a}" id="{b88f626a-711d-4ac8-9f32-50d88309e8bb}" done="0">
    <x18tc:text xml:space="preserve">It is a comparison paper. Good for analysis and challenges section.</x18tc:text>
  </x18tc:threadedComment>
  <x18tc:threadedComment ref="F117" dT="2025-12-20T11:56:10.00" personId="{0dd6189e-d4b9-4f32-9c3c-7f2da68a562a}" id="{510107d9-f9a7-40ee-890d-dd2655f58ac7}" done="0">
    <x18tc:text xml:space="preserve">Breast cancer sensor patch.</x18tc:text>
  </x18tc:threadedComment>
  <x18tc:threadedComment ref="F27" dT="2025-12-26T16:54:18.00" personId="{0dd6189e-d4b9-4f32-9c3c-7f2da68a562a}" id="{836624c1-5a4f-4822-b387-503853e082fb}" done="0">
    <x18tc:text xml:space="preserve">Paper is on prostate cancer.</x18tc:text>
  </x18tc:threadedComment>
  <x18tc:threadedComment ref="F30" dT="2025-12-26T16:46:42.00" personId="{0dd6189e-d4b9-4f32-9c3c-7f2da68a562a}" id="{1833d788-c1d6-4db5-96e7-8fa377f1d60d}" done="0">
    <x18tc:text xml:space="preserve">Sensors not ML BCD</x18tc:text>
  </x18tc:threadedComment>
  <x18tc:threadedComment ref="F101" dT="2025-12-20T11:57:58.00" personId="{0dd6189e-d4b9-4f32-9c3c-7f2da68a562a}" id="{a9c7f4f1-4781-4cf6-874b-f2da8098c335}" done="0">
    <x18tc:text xml:space="preserve">Feature selection technique. Not lightweight ML.</x18tc:text>
  </x18tc:threadedComment>
  <x18tc:threadedComment ref="F42" dT="2025-12-26T17:45:37.00" personId="{0dd6189e-d4b9-4f32-9c3c-7f2da68a562a}" id="{e0a5667d-63d1-4fe3-a931-808d2b8831c6}" done="0">
    <x18tc:text xml:space="preserve">Paper focuses on feature augmentation.
They tested the models on SVM and Random Forest.</x18tc:text>
  </x18tc:threadedComment>
  <x18tc:threadedComment ref="F36" dT="2025-12-26T15:13:28.00" personId="{0dd6189e-d4b9-4f32-9c3c-7f2da68a562a}" id="{96889a4c-3b5b-4e9c-bf6c-89a76211e203}" done="0">
    <x18tc:text xml:space="preserve">Sensor not ML</x18tc:text>
  </x18tc:threadedComment>
  <x18tc:threadedComment ref="F29" dT="2025-12-26T16:50:11.00" personId="{0dd6189e-d4b9-4f32-9c3c-7f2da68a562a}" id="{9a9fce5d-e430-4895-a1d2-b90bd34872e6}" done="0">
    <x18tc:text xml:space="preserve">Sensor not ML</x18tc:text>
  </x18tc:threadedComment>
  <x18tc:threadedComment ref="F128" dT="2025-12-20T12:18:26.00" personId="{0dd6189e-d4b9-4f32-9c3c-7f2da68a562a}" id="{b3b202b2-165d-4bb9-8a95-f07b9b4d36ed}" done="0">
    <x18tc:text xml:space="preserve">Feature selection technique not AI.</x18tc:text>
  </x18tc:threadedComment>
  <x18tc:threadedComment ref="F48" dT="2026-01-10T15:19:01.00" personId="{0dd6189e-d4b9-4f32-9c3c-7f2da68a562a}" id="{319ac6de-008f-44b1-a9c0-09d145ddfaad}" done="0">
    <x18tc:text xml:space="preserve">Skin Cancer not BC</x18tc:text>
  </x18tc:threadedComment>
  <x18tc:threadedComment ref="F111" dT="2025-12-26T20:21:48.00" personId="{0dd6189e-d4b9-4f32-9c3c-7f2da68a562a}" id="{c293e456-8f3f-414e-98d8-a72e21ccbd63}" done="0">
    <x18tc:text xml:space="preserve">Not a lightweight model, even though it uses a lightweight encoder.</x18tc:text>
  </x18tc:threadedComment>
  <x18tc:threadedComment ref="F80" dT="2025-12-21T09:26:18.00" personId="{0dd6189e-d4b9-4f32-9c3c-7f2da68a562a}" id="{4f8d3e48-cb20-4891-aa37-f015527aa480}" done="0">
    <x18tc:text xml:space="preserve">The authors argue that their model is driven by "facilitated by advancements in GPU memory, computation power, and the availability of digital data".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1" dT="2025-01-19T20:19:50.00" personId="{35ff3b85-8686-4035-987e-147ff6228021}" id="{6157556a-1456-4cab-ae72-02a2693ae801}" done="0">
    <x18tc:text xml:space="preserve">these were read by babe. the number represents its citation number in the original paper</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 dT="2023-04-12T11:27:18.00" personId="{0dd6189e-d4b9-4f32-9c3c-7f2da68a562a}" id="{0a190d59-e7c6-48ce-99ce-65697a4a2a7b}" done="0">
    <x18tc:text xml:space="preserve">extension of 15</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3-04-12T21:09:31.00" personId="{0dd6189e-d4b9-4f32-9c3c-7f2da68a562a}" id="{c895942a-c989-4cf4-a899-7bdf2ee6e1e5}" done="0">
    <x18tc:text xml:space="preserve">whole image</x18tc:text>
  </x18tc:threadedComment>
  <x18tc:threadedComment ref="G15" dT="2023-04-13T08:25:25.00" personId="{0dd6189e-d4b9-4f32-9c3c-7f2da68a562a}" id="{fb9fdd0f-f026-4b7a-a939-55b844f7b3be}" done="0">
    <x18tc:text xml:space="preserve">Inference time per WSI on average</x18tc:text>
  </x18tc:threadedComment>
  <x18tc:threadedComment ref="C8" dT="2023-04-12T21:09:15.00" personId="{0dd6189e-d4b9-4f32-9c3c-7f2da68a562a}" id="{0be436d2-f46e-4d7e-8b19-13a43418cc86}" done="0">
    <x18tc:text xml:space="preserve">wholes image</x18tc:text>
  </x18tc:threadedComment>
  <x18tc:threadedComment ref="G1" dT="2023-04-10T16:46:47.00" personId="{0dd6189e-d4b9-4f32-9c3c-7f2da68a562a}" id="{5228d4b8-d9cc-44ed-bf2d-3b783e4926ce}" done="0">
    <x18tc:text xml:space="preserve">unit is seconds</x18tc:text>
  </x18tc:threadedComment>
  <x18tc:threadedComment ref="F16" dT="2023-04-09T19:52:40.00" personId="{0dd6189e-d4b9-4f32-9c3c-7f2da68a562a}" id="{ad3443f0-3265-4622-88aa-c278f93eb064}" done="0">
    <x18tc:text xml:space="preserve">* Text was transformed into image</x18tc:text>
  </x18tc:threadedComment>
  <x18tc:threadedComment ref="G2" dT="2023-04-13T08:18:50.00" personId="{0dd6189e-d4b9-4f32-9c3c-7f2da68a562a}" id="{7aa45518-c14d-436d-9eb4-160dbb945b48}" done="0">
    <x18tc:text xml:space="preserve">One epoch of training</x18tc:text>
  </x18tc:threadedComment>
  <x18tc:threadedComment ref="O18" dT="2023-04-09T08:04:16.00" personId="{0dd6189e-d4b9-4f32-9c3c-7f2da68a562a}" id="{05c4e21b-819a-4a37-a7bc-d69bc2784f5e}" done="0">
    <x18tc:text xml:space="preserve">Multi-stage ML</x18tc:text>
  </x18tc:threadedComment>
  <x18tc:threadedComment ref="C6" dT="2023-04-12T21:07:48.00" personId="{0dd6189e-d4b9-4f32-9c3c-7f2da68a562a}" id="{4aa512a9-9e7c-4535-a8be-6f528f7ca674}" done="0">
    <x18tc:text xml:space="preserve">split averaging</x18tc:text>
  </x18tc:threadedComment>
  <x18tc:threadedComment ref="G18" dT="2023-04-13T08:35:23.00" personId="{0dd6189e-d4b9-4f32-9c3c-7f2da68a562a}" id="{3a86a1e0-f31c-4160-9486-8a48cfb507fe}" done="0">
    <x18tc:text xml:space="preserve">Time is in seconds per image</x18tc:text>
  </x18tc:threadedComment>
  <x18tc:threadedComment ref="C3" dT="2023-04-12T21:08:05.00" personId="{0dd6189e-d4b9-4f32-9c3c-7f2da68a562a}" id="{0be87563-10af-4755-a779-8ce886680195}" done="0">
    <x18tc:text xml:space="preserve">split averaging</x18tc:text>
  </x18tc:threadedComment>
  <x18tc:threadedComment ref="C7" dT="2023-04-12T21:08:24.00" personId="{0dd6189e-d4b9-4f32-9c3c-7f2da68a562a}" id="{97fda398-71bc-4246-bfae-fac503b6f60d}" done="0">
    <x18tc:text xml:space="preserve">split threshold</x18tc:text>
  </x18tc:threadedComment>
  <x18tc:threadedComment ref="C4" dT="2023-04-12T21:08:39.00" personId="{0dd6189e-d4b9-4f32-9c3c-7f2da68a562a}" id="{74594495-cc43-43b7-8de8-1d344ab4e349}" done="0">
    <x18tc:text xml:space="preserve">split threshold</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6" dT="2023-04-23T18:22:17.00" personId="{0dd6189e-d4b9-4f32-9c3c-7f2da68a562a}" id="{4f9bc732-d28f-45c0-b2fa-c417a15b768c}" done="0">
    <x18tc:text xml:space="preserve">Specificity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copus.com/inward/record.uri?eid=2-s2.0-85097683791&amp;partnerID=40&amp;md5=343726d9201692790d3e0204dad8e140" TargetMode="External"/><Relationship Id="rId42" Type="http://schemas.openxmlformats.org/officeDocument/2006/relationships/hyperlink" Target="https://www.scopus.com/inward/record.uri?eid=2-s2.0-85143079638&amp;partnerID=40&amp;md5=f6d79e7d735d735686810e35e4b2d6ff" TargetMode="External"/><Relationship Id="rId41" Type="http://schemas.openxmlformats.org/officeDocument/2006/relationships/hyperlink" Target="https://www.scopus.com/inward/record.uri?eid=2-s2.0-85125349633&amp;doi=10.1109%2FICCIS54243.2021.9676187&amp;partnerID=40&amp;md5=1f418c7a52230bcb6b8e2c667c7f672a" TargetMode="External"/><Relationship Id="rId44" Type="http://schemas.openxmlformats.org/officeDocument/2006/relationships/hyperlink" Target="https://www.scopus.com/inward/record.uri?eid=2-s2.0-85129147479&amp;doi=10.1007%2Fs12539-022-00515-1&amp;partnerID=40&amp;md5=d8374dd58ba08c73282dcd71b3e3f27c" TargetMode="External"/><Relationship Id="rId43" Type="http://schemas.openxmlformats.org/officeDocument/2006/relationships/hyperlink" Target="https://www.scopus.com/inward/record.uri?eid=2-s2.0-85135043192&amp;doi=10.1007%2F978-3-031-09342-5_27&amp;partnerID=40&amp;md5=6ce2320bd96903fbe3a25baf05111e99" TargetMode="External"/><Relationship Id="rId46" Type="http://schemas.openxmlformats.org/officeDocument/2006/relationships/hyperlink" Target="https://www.scopus.com/inward/record.uri?eid=2-s2.0-85130057030&amp;doi=10.1155%2F2022%2F3714422&amp;partnerID=40&amp;md5=b7f95ce78e0d5074d983f835ee26d1e5" TargetMode="External"/><Relationship Id="rId45" Type="http://schemas.openxmlformats.org/officeDocument/2006/relationships/hyperlink" Target="https://www.scopus.com/inward/record.uri?eid=2-s2.0-85138460701&amp;doi=10.1016%2Fj.bios.2022.114635&amp;partnerID=40&amp;md5=029e81da191e90ca5bd7e55c7a0c97ef" TargetMode="External"/><Relationship Id="rId107" Type="http://schemas.openxmlformats.org/officeDocument/2006/relationships/hyperlink" Target="https://www.scopus.com/inward/record.uri?eid=2-s2.0-105021269521&amp;doi=10.1109%2FTCE.2025.3630000&amp;partnerID=40&amp;md5=4b94fcfe2989fcf1a8d3c79788190624" TargetMode="External"/><Relationship Id="rId106" Type="http://schemas.openxmlformats.org/officeDocument/2006/relationships/hyperlink" Target="https://www.scopus.com/inward/record.uri?eid=2-s2.0-105011275624&amp;doi=10.1109%2FCAI64502.2025.00089&amp;partnerID=40&amp;md5=6a408a12e8ceaec0d3099306e4c7680e" TargetMode="External"/><Relationship Id="rId105" Type="http://schemas.openxmlformats.org/officeDocument/2006/relationships/hyperlink" Target="https://www.scopus.com/inward/record.uri?eid=2-s2.0-105002973748&amp;doi=10.1177%2F20552076251336286&amp;partnerID=40&amp;md5=ace3391d039f324f6e94b157d7c13bce" TargetMode="External"/><Relationship Id="rId104" Type="http://schemas.openxmlformats.org/officeDocument/2006/relationships/hyperlink" Target="https://www.scopus.com/inward/record.uri?eid=2-s2.0-85217015380&amp;doi=10.1109%2FTAI.2025.3536424&amp;partnerID=40&amp;md5=3a16379b22710aecb9e00307936919cb" TargetMode="External"/><Relationship Id="rId109" Type="http://schemas.openxmlformats.org/officeDocument/2006/relationships/hyperlink" Target="https://www.scopus.com/inward/record.uri?eid=2-s2.0-85219183459&amp;doi=10.1007%2F978-3-031-77789-9_10&amp;partnerID=40&amp;md5=1c4f86926593d3f500e6a340e24aba67" TargetMode="External"/><Relationship Id="rId108" Type="http://schemas.openxmlformats.org/officeDocument/2006/relationships/hyperlink" Target="https://www.scopus.com/inward/record.uri?eid=2-s2.0-85216120907&amp;partnerID=40&amp;md5=8e84515b90dfa1ef6cc5b268b830c812" TargetMode="External"/><Relationship Id="rId48" Type="http://schemas.openxmlformats.org/officeDocument/2006/relationships/hyperlink" Target="https://www.scopus.com/inward/record.uri?eid=2-s2.0-85148874918&amp;partnerID=40&amp;md5=1319f99a2518dcd8b271472f212eae60" TargetMode="External"/><Relationship Id="rId47" Type="http://schemas.openxmlformats.org/officeDocument/2006/relationships/hyperlink" Target="https://www.scopus.com/inward/record.uri?eid=2-s2.0-85124670761&amp;partnerID=40&amp;md5=74871ff483593045ff21f5c5f621c2bf" TargetMode="External"/><Relationship Id="rId49" Type="http://schemas.openxmlformats.org/officeDocument/2006/relationships/hyperlink" Target="https://www.scopus.com/inward/record.uri?eid=2-s2.0-85133002409&amp;partnerID=40&amp;md5=4cd265e78079bd54e50202f6c6364fb5" TargetMode="External"/><Relationship Id="rId103" Type="http://schemas.openxmlformats.org/officeDocument/2006/relationships/hyperlink" Target="https://www.scopus.com/inward/record.uri?eid=2-s2.0-105019357660&amp;doi=10.22266%2Fijies2025.1130.51&amp;partnerID=40&amp;md5=3dae90700e7ba2b83aedcde89df638c7" TargetMode="External"/><Relationship Id="rId102" Type="http://schemas.openxmlformats.org/officeDocument/2006/relationships/hyperlink" Target="https://www.scopus.com/inward/record.uri?eid=2-s2.0-85179734403&amp;doi=10.1080%2F10255842.2023.2292009&amp;partnerID=40&amp;md5=4c588f2638cac677f5d89fbcf609c9bc" TargetMode="External"/><Relationship Id="rId101" Type="http://schemas.openxmlformats.org/officeDocument/2006/relationships/hyperlink" Target="https://www.scopus.com/inward/record.uri?eid=2-s2.0-85216392400&amp;doi=10.31436%2FIIUMEJ.V26I1.3221&amp;partnerID=40&amp;md5=d5c4afba48d38caacbbeceee7ead2d51" TargetMode="External"/><Relationship Id="rId100" Type="http://schemas.openxmlformats.org/officeDocument/2006/relationships/hyperlink" Target="https://www.scopus.com/inward/record.uri?eid=2-s2.0-105013755493&amp;doi=10.1109%2FACCESS.2025.3599358&amp;partnerID=40&amp;md5=13d30e58f1d3749764d115e9db52da43" TargetMode="External"/><Relationship Id="rId31" Type="http://schemas.openxmlformats.org/officeDocument/2006/relationships/hyperlink" Target="https://www.scopus.com/inward/record.uri?eid=2-s2.0-85061546246&amp;doi=10.1364%2FBOE.10.000399&amp;partnerID=40&amp;md5=96f5a52dac94266494bd0706762bb7a5" TargetMode="External"/><Relationship Id="rId30" Type="http://schemas.openxmlformats.org/officeDocument/2006/relationships/hyperlink" Target="https://www.scopus.com/inward/record.uri?eid=2-s2.0-85074788048&amp;doi=10.1002%2Fjso.25747&amp;partnerID=40&amp;md5=70f25536527d62085c4b183b2e096bd8" TargetMode="External"/><Relationship Id="rId33" Type="http://schemas.openxmlformats.org/officeDocument/2006/relationships/hyperlink" Target="https://www.scopus.com/inward/record.uri?eid=2-s2.0-85065909723&amp;partnerID=40&amp;md5=1d86e21bff3a5377d0081b262702121e" TargetMode="External"/><Relationship Id="rId32" Type="http://schemas.openxmlformats.org/officeDocument/2006/relationships/hyperlink" Target="https://www.scopus.com/inward/record.uri?eid=2-s2.0-85071679965&amp;doi=10.35940%2Fijitee.F1274.0486S419&amp;partnerID=40&amp;md5=71389f2e941c91469619606bd365f7d4" TargetMode="External"/><Relationship Id="rId35" Type="http://schemas.openxmlformats.org/officeDocument/2006/relationships/hyperlink" Target="https://www.scopus.com/inward/record.uri?eid=2-s2.0-85096352764&amp;doi=10.1117%2F12.2558613&amp;partnerID=40&amp;md5=35bb3dd9c3a25059486a1936eef82f45" TargetMode="External"/><Relationship Id="rId34" Type="http://schemas.openxmlformats.org/officeDocument/2006/relationships/hyperlink" Target="https://www.scopus.com/inward/record.uri?eid=2-s2.0-85100334328&amp;doi=10.1109%2FBIBM49941.2020.9313511&amp;partnerID=40&amp;md5=fb3d8f43c53000a15005cfd528649a9e" TargetMode="External"/><Relationship Id="rId37" Type="http://schemas.openxmlformats.org/officeDocument/2006/relationships/hyperlink" Target="https://www.scopus.com/inward/record.uri?eid=2-s2.0-85092131911&amp;doi=10.15866%2Firecap.v10i4.18560&amp;partnerID=40&amp;md5=8ce1c48bc14fe53278896f221f0c083c" TargetMode="External"/><Relationship Id="rId36" Type="http://schemas.openxmlformats.org/officeDocument/2006/relationships/hyperlink" Target="https://www.scopus.com/inward/record.uri?eid=2-s2.0-85087800211&amp;doi=10.1109%2FACCESS.2020.3004056&amp;partnerID=40&amp;md5=6b6ab728d09e8e7a1c908b4e78500b47" TargetMode="External"/><Relationship Id="rId39" Type="http://schemas.openxmlformats.org/officeDocument/2006/relationships/hyperlink" Target="https://www.scopus.com/inward/record.uri?eid=2-s2.0-85096498383&amp;partnerID=40&amp;md5=96864cec68a1d7daf114c68cb5099620" TargetMode="External"/><Relationship Id="rId38" Type="http://schemas.openxmlformats.org/officeDocument/2006/relationships/hyperlink" Target="https://www.scopus.com/inward/record.uri?eid=2-s2.0-85126741088&amp;doi=10.1109%2FICECET52533.2021.9698733&amp;partnerID=40&amp;md5=187048564131139517e83cff935e163d" TargetMode="External"/><Relationship Id="rId20" Type="http://schemas.openxmlformats.org/officeDocument/2006/relationships/hyperlink" Target="https://www.scopus.com/inward/record.uri?eid=2-s2.0-85188816627&amp;doi=10.1016%2Fj.cmpb.2024.108121&amp;partnerID=40&amp;md5=8ed2ec627b561421c7ccb03952f82208" TargetMode="External"/><Relationship Id="rId22" Type="http://schemas.openxmlformats.org/officeDocument/2006/relationships/hyperlink" Target="https://www.scopus.com/inward/record.uri?eid=2-s2.0-85188740503&amp;doi=10.13053%2FCyS-28-1-4892&amp;partnerID=40&amp;md5=a9a8535e7bfcbd0ca99003d85867d629" TargetMode="External"/><Relationship Id="rId21" Type="http://schemas.openxmlformats.org/officeDocument/2006/relationships/hyperlink" Target="https://www.scopus.com/inward/record.uri?eid=2-s2.0-85189017106&amp;doi=10.1016%2Fj.bspc.2024.106279&amp;partnerID=40&amp;md5=360a1c6c8c6f1498d762278d834c4bc2" TargetMode="External"/><Relationship Id="rId24" Type="http://schemas.openxmlformats.org/officeDocument/2006/relationships/hyperlink" Target="https://www.scopus.com/inward/record.uri?eid=2-s2.0-85192759561&amp;doi=10.1016%2Fj.heliyon.2024.e30889&amp;partnerID=40&amp;md5=e088df5571ea4fe1644aa737d77c9a2c" TargetMode="External"/><Relationship Id="rId23" Type="http://schemas.openxmlformats.org/officeDocument/2006/relationships/hyperlink" Target="https://www.scopus.com/inward/record.uri?eid=2-s2.0-85182354943&amp;doi=10.1016%2Fj.heliyon.2024.e24094&amp;partnerID=40&amp;md5=a21b820f8b6bb3eebcced38b881909e9" TargetMode="External"/><Relationship Id="rId129" Type="http://schemas.openxmlformats.org/officeDocument/2006/relationships/hyperlink" Target="https://www.scopus.com/inward/record.uri?eid=2-s2.0-105002882511&amp;doi=10.1201%2F9781003481959-5&amp;partnerID=40&amp;md5=bbdd253eaa305ad66998c931dede8df3" TargetMode="External"/><Relationship Id="rId128" Type="http://schemas.openxmlformats.org/officeDocument/2006/relationships/hyperlink" Target="https://www.scopus.com/inward/record.uri?eid=2-s2.0-105012438783&amp;doi=10.1109%2FACCESS.2025.3594827&amp;partnerID=40&amp;md5=3509bc47ddf96ea815bb6c1bc73668b4" TargetMode="External"/><Relationship Id="rId127" Type="http://schemas.openxmlformats.org/officeDocument/2006/relationships/hyperlink" Target="https://www.scopus.com/inward/record.uri?eid=2-s2.0-105018924761&amp;doi=10.18502%2Ffbt.v12i4.19818&amp;partnerID=40&amp;md5=d22c20f3da9023d65fb449cfadb8c57e" TargetMode="External"/><Relationship Id="rId126" Type="http://schemas.openxmlformats.org/officeDocument/2006/relationships/hyperlink" Target="https://www.scopus.com/inward/record.uri?eid=2-s2.0-85212277710&amp;doi=10.1007%2F978-3-031-78198-8_19&amp;partnerID=40&amp;md5=fb93b8e821b817116b2170c0a9fada14" TargetMode="External"/><Relationship Id="rId26" Type="http://schemas.openxmlformats.org/officeDocument/2006/relationships/hyperlink" Target="https://www.scopus.com/inward/record.uri?eid=2-s2.0-105002579088&amp;doi=10.1109%2FACCESS.2025.3556517&amp;partnerID=40&amp;md5=af2b9a52232016fa55ca4b11e136a7d9" TargetMode="External"/><Relationship Id="rId121" Type="http://schemas.openxmlformats.org/officeDocument/2006/relationships/hyperlink" Target="https://www.scopus.com/inward/record.uri?eid=2-s2.0-85214276563&amp;doi=10.52783%2Fpmj.v35.i1.2045&amp;partnerID=40&amp;md5=d88a7540acd4c0214bbc9d81a4e66daa" TargetMode="External"/><Relationship Id="rId25" Type="http://schemas.openxmlformats.org/officeDocument/2006/relationships/hyperlink" Target="https://www.scopus.com/inward/record.uri?eid=2-s2.0-85190974543&amp;doi=10.11591%2Fijeecs.v34.i3.pp1739-1752&amp;partnerID=40&amp;md5=4dbc46a4e73a37fd3d95e378b2a66dbb" TargetMode="External"/><Relationship Id="rId120" Type="http://schemas.openxmlformats.org/officeDocument/2006/relationships/hyperlink" Target="https://www.scopus.com/inward/record.uri?eid=2-s2.0-105022262209&amp;doi=10.1109%2FICMCTC62214.2025.11196182&amp;partnerID=40&amp;md5=d9b404f5c4881a1e454c1ac12fa2a2e3" TargetMode="External"/><Relationship Id="rId28" Type="http://schemas.openxmlformats.org/officeDocument/2006/relationships/hyperlink" Target="https://www.scopus.com/inward/record.uri?eid=2-s2.0-84964444601&amp;partnerID=40&amp;md5=2ee5946f8c55e6a977c2c788fc1c7690" TargetMode="External"/><Relationship Id="rId27" Type="http://schemas.openxmlformats.org/officeDocument/2006/relationships/hyperlink" Target="https://www.scopus.com/inward/record.uri?eid=2-s2.0-84884785762&amp;partnerID=40&amp;md5=31e4db38afaa379c6aa0f56556b495bd" TargetMode="External"/><Relationship Id="rId125" Type="http://schemas.openxmlformats.org/officeDocument/2006/relationships/hyperlink" Target="https://www.scopus.com/inward/record.uri?eid=2-s2.0-85219380788&amp;partnerID=40&amp;md5=fd752c72e769389a2766a95c3b27506d" TargetMode="External"/><Relationship Id="rId29" Type="http://schemas.openxmlformats.org/officeDocument/2006/relationships/hyperlink" Target="https://www.scopus.com/inward/record.uri?eid=2-s2.0-85013215035&amp;doi=10.1016%2Fj.medengphy.2017.01.021&amp;partnerID=40&amp;md5=4c642cbfe3caf47a0794a3ac8dd7bc70" TargetMode="External"/><Relationship Id="rId124" Type="http://schemas.openxmlformats.org/officeDocument/2006/relationships/hyperlink" Target="https://www.scopus.com/inward/record.uri?eid=2-s2.0-105013145996&amp;doi=10.3390%2Fapp15158448&amp;partnerID=40&amp;md5=f0e89d193defc6aafe1d65b5f99dca98" TargetMode="External"/><Relationship Id="rId123" Type="http://schemas.openxmlformats.org/officeDocument/2006/relationships/hyperlink" Target="https://www.scopus.com/inward/record.uri?eid=2-s2.0-105013318948&amp;doi=10.1016%2Fj.engmed.2024.100053&amp;partnerID=40&amp;md5=bf1655a151b007a31ed315279e2af3b6" TargetMode="External"/><Relationship Id="rId122" Type="http://schemas.openxmlformats.org/officeDocument/2006/relationships/hyperlink" Target="https://www.scopus.com/inward/record.uri?eid=2-s2.0-105011323259&amp;doi=10.1007%2Fs11042-024-20234-7&amp;partnerID=40&amp;md5=0d12346861c9d2c1c23267857b977060" TargetMode="External"/><Relationship Id="rId95" Type="http://schemas.openxmlformats.org/officeDocument/2006/relationships/hyperlink" Target="https://www.scopus.com/inward/record.uri?eid=2-s2.0-85211798400&amp;partnerID=40&amp;md5=631aee0523b6cb2b440291c02fcce15b" TargetMode="External"/><Relationship Id="rId94" Type="http://schemas.openxmlformats.org/officeDocument/2006/relationships/hyperlink" Target="https://www.scopus.com/inward/record.uri?eid=2-s2.0-85202775536&amp;partnerID=40&amp;md5=8da973598f682212c8284d8514d2c3c2" TargetMode="External"/><Relationship Id="rId97" Type="http://schemas.openxmlformats.org/officeDocument/2006/relationships/hyperlink" Target="https://www.scopus.com/inward/record.uri?eid=2-s2.0-85202507213&amp;partnerID=40&amp;md5=f8bddf1a083b2b2afbb3e32fb37a4b48" TargetMode="External"/><Relationship Id="rId96" Type="http://schemas.openxmlformats.org/officeDocument/2006/relationships/hyperlink" Target="https://www.scopus.com/inward/record.uri?eid=2-s2.0-85217269728&amp;partnerID=40&amp;md5=5c201409a8a86a3e8db33485f392fafb" TargetMode="External"/><Relationship Id="rId11" Type="http://schemas.openxmlformats.org/officeDocument/2006/relationships/hyperlink" Target="https://www.scopus.com/inward/record.uri?eid=2-s2.0-85138239272&amp;doi=10.1615%2FCritRevBiomedEng.2022043417&amp;partnerID=40&amp;md5=85ac07e56c86bb4fcdaee9cc247787e9" TargetMode="External"/><Relationship Id="rId99" Type="http://schemas.openxmlformats.org/officeDocument/2006/relationships/hyperlink" Target="https://www.scopus.com/inward/record.uri?eid=2-s2.0-105022247344&amp;partnerID=40&amp;md5=3e1c730e026d9d30a0b1de328a2663e1" TargetMode="External"/><Relationship Id="rId10" Type="http://schemas.openxmlformats.org/officeDocument/2006/relationships/hyperlink" Target="https://www.scopus.com/inward/record.uri?eid=2-s2.0-85102409958&amp;doi=10.1088%2F1742-6596%2F1755%2F1%2F012026&amp;partnerID=40&amp;md5=3342ebdea94a79259464e7bf1b1f420c" TargetMode="External"/><Relationship Id="rId98" Type="http://schemas.openxmlformats.org/officeDocument/2006/relationships/hyperlink" Target="https://www.scopus.com/inward/record.uri?eid=2-s2.0-105021946444&amp;doi=10.1109%2FICIMIA67127.2025.11200577&amp;partnerID=40&amp;md5=a87a108a89689e25b638b8c44e26cb7c" TargetMode="External"/><Relationship Id="rId13" Type="http://schemas.openxmlformats.org/officeDocument/2006/relationships/hyperlink" Target="https://www.scopus.com/inward/record.uri?eid=2-s2.0-85132930127&amp;doi=10.3390%2Fbioengineering9060261&amp;partnerID=40&amp;md5=2061b61f9c49957ac6fa8f9427c5bb70" TargetMode="External"/><Relationship Id="rId12" Type="http://schemas.openxmlformats.org/officeDocument/2006/relationships/hyperlink" Target="https://www.scopus.com/inward/record.uri?eid=2-s2.0-85139222990&amp;doi=10.13052%2Fjmm1550-4646.18619&amp;partnerID=40&amp;md5=da2a1aa1668572887810f27b242c2214" TargetMode="External"/><Relationship Id="rId91" Type="http://schemas.openxmlformats.org/officeDocument/2006/relationships/hyperlink" Target="https://www.scopus.com/inward/record.uri?eid=2-s2.0-85208977565&amp;partnerID=40&amp;md5=2ae3f4300e63387c2ef8a2a99545a23a" TargetMode="External"/><Relationship Id="rId90" Type="http://schemas.openxmlformats.org/officeDocument/2006/relationships/hyperlink" Target="https://www.scopus.com/inward/record.uri?eid=2-s2.0-85197567970&amp;doi=10.1109%2FICBSII61384.2024.10564079&amp;partnerID=40&amp;md5=395cae1567e04dccd21457ef3d793001" TargetMode="External"/><Relationship Id="rId93" Type="http://schemas.openxmlformats.org/officeDocument/2006/relationships/hyperlink" Target="https://www.scopus.com/inward/record.uri?eid=2-s2.0-85206081792&amp;partnerID=40&amp;md5=63abc2e3f5b27bd81515551637c17ea4" TargetMode="External"/><Relationship Id="rId92" Type="http://schemas.openxmlformats.org/officeDocument/2006/relationships/hyperlink" Target="https://www.scopus.com/inward/record.uri?eid=2-s2.0-85206393432&amp;partnerID=40&amp;md5=d1ae3838e15f103670f22c0c42a1d549" TargetMode="External"/><Relationship Id="rId118" Type="http://schemas.openxmlformats.org/officeDocument/2006/relationships/hyperlink" Target="https://www.scopus.com/inward/record.uri?eid=2-s2.0-105023782596&amp;doi=10.1109%2FEMBC58623.2025.11253875&amp;partnerID=40&amp;md5=116bcec105ca9725518fc2516a52c8f7" TargetMode="External"/><Relationship Id="rId117" Type="http://schemas.openxmlformats.org/officeDocument/2006/relationships/hyperlink" Target="https://www.scopus.com/inward/record.uri?eid=2-s2.0-105004054688&amp;doi=10.1109%2FACCESS.2025.3564940&amp;partnerID=40&amp;md5=3b8e5df01c4ea8781fb3d21c126d8551" TargetMode="External"/><Relationship Id="rId116" Type="http://schemas.openxmlformats.org/officeDocument/2006/relationships/hyperlink" Target="https://www.scopus.com/inward/record.uri?eid=2-s2.0-105020016478&amp;doi=10.3390%2Fjimaging11100358&amp;partnerID=40&amp;md5=7f946f46daea421a7cf698adf3a6c0eb" TargetMode="External"/><Relationship Id="rId115" Type="http://schemas.openxmlformats.org/officeDocument/2006/relationships/hyperlink" Target="https://www.scopus.com/inward/record.uri?eid=2-s2.0-85215948352&amp;doi=10.3390%2Fbioengineering12010073&amp;partnerID=40&amp;md5=f556787566874720c7650cbe95e93047" TargetMode="External"/><Relationship Id="rId119" Type="http://schemas.openxmlformats.org/officeDocument/2006/relationships/hyperlink" Target="https://www.scopus.com/inward/record.uri?eid=2-s2.0-105005510803&amp;doi=10.1007%2Fs11220-025-00587-5&amp;partnerID=40&amp;md5=c193a65c15ade945295c767273cf8b6c" TargetMode="External"/><Relationship Id="rId15" Type="http://schemas.openxmlformats.org/officeDocument/2006/relationships/hyperlink" Target="https://www.scopus.com/inward/record.uri?eid=2-s2.0-85190115921&amp;doi=10.1109%2FMoSICom59118.2023.10458800&amp;partnerID=40&amp;md5=fd257c5075ecd94fecf725ea2a1fdc8a" TargetMode="External"/><Relationship Id="rId110" Type="http://schemas.openxmlformats.org/officeDocument/2006/relationships/hyperlink" Target="https://www.scopus.com/inward/record.uri?eid=2-s2.0-105024009698&amp;doi=10.1007%2Fs44174-025-00527-7&amp;partnerID=40&amp;md5=4da6f0308fefc016ed35c08d079c86ab" TargetMode="External"/><Relationship Id="rId14" Type="http://schemas.openxmlformats.org/officeDocument/2006/relationships/hyperlink" Target="https://www.scopus.com/inward/record.uri?eid=2-s2.0-85132534568&amp;doi=10.1109%2FTCBB.2022.3174091&amp;partnerID=40&amp;md5=e4a812f8afb738e87a9fcc87c306ca63" TargetMode="External"/><Relationship Id="rId17" Type="http://schemas.openxmlformats.org/officeDocument/2006/relationships/hyperlink" Target="https://www.scopus.com/inward/record.uri?eid=2-s2.0-85147451303&amp;doi=10.1016%2Fj.eswa.2023.119643&amp;partnerID=40&amp;md5=fc712e932022324e8e6138185f3fbe26" TargetMode="External"/><Relationship Id="rId16" Type="http://schemas.openxmlformats.org/officeDocument/2006/relationships/hyperlink" Target="https://www.scopus.com/inward/record.uri?eid=2-s2.0-85176360213&amp;doi=10.1109%2FACCESS.2023.3326478&amp;partnerID=40&amp;md5=defa7bec33910c909d23e0d8c16b08b7" TargetMode="External"/><Relationship Id="rId19" Type="http://schemas.openxmlformats.org/officeDocument/2006/relationships/hyperlink" Target="https://www.scopus.com/inward/record.uri?eid=2-s2.0-85169909058&amp;doi=10.1007%2Fs11042-023-16625-x&amp;partnerID=40&amp;md5=76cfde977cc0971a33c85307882ff412" TargetMode="External"/><Relationship Id="rId114" Type="http://schemas.openxmlformats.org/officeDocument/2006/relationships/hyperlink" Target="https://www.scopus.com/inward/record.uri?eid=2-s2.0-105016833147&amp;doi=10.1007%2Fs11760-025-04756-7&amp;partnerID=40&amp;md5=96abb2897be485d5ba9f9e44f80a0a2f" TargetMode="External"/><Relationship Id="rId18" Type="http://schemas.openxmlformats.org/officeDocument/2006/relationships/hyperlink" Target="https://www.scopus.com/inward/record.uri?eid=2-s2.0-85187778482&amp;doi=10.1109%2FICDSAAI59313.2023.10452524&amp;partnerID=40&amp;md5=b9ce44cd5925d141f7b3aaabdb502ce1" TargetMode="External"/><Relationship Id="rId113" Type="http://schemas.openxmlformats.org/officeDocument/2006/relationships/hyperlink" Target="https://www.scopus.com/inward/record.uri?eid=2-s2.0-105021804470&amp;doi=10.1109%2FIUS62464.2025.11201536&amp;partnerID=40&amp;md5=0dc4e56789c55a9d7712fcec4c004346" TargetMode="External"/><Relationship Id="rId112" Type="http://schemas.openxmlformats.org/officeDocument/2006/relationships/hyperlink" Target="https://www.scopus.com/inward/record.uri?eid=2-s2.0-105006687915&amp;doi=10.3389%2Ffonc.2025.1563959&amp;partnerID=40&amp;md5=faab156d9a85e140c94cb47c6fa02971" TargetMode="External"/><Relationship Id="rId111" Type="http://schemas.openxmlformats.org/officeDocument/2006/relationships/hyperlink" Target="https://www.scopus.com/inward/record.uri?eid=2-s2.0-105022621387&amp;doi=10.1109%2FACCESS.2025.3634473&amp;partnerID=40&amp;md5=2cb3cd8eee3e3601b19971294596ca22" TargetMode="External"/><Relationship Id="rId84" Type="http://schemas.openxmlformats.org/officeDocument/2006/relationships/hyperlink" Target="https://www.scopus.com/inward/record.uri?eid=2-s2.0-85217440966&amp;doi=10.1109%2F3ICT64318.2024.10824574&amp;partnerID=40&amp;md5=8de2b5ca7cdcccf5e04ea0738c381256" TargetMode="External"/><Relationship Id="rId83" Type="http://schemas.openxmlformats.org/officeDocument/2006/relationships/hyperlink" Target="https://www.scopus.com/inward/record.uri?eid=2-s2.0-85209943697&amp;doi=10.1109%2FICOSEC61587.2024.10722394&amp;partnerID=40&amp;md5=26443f2258316dd51126958af9781df0" TargetMode="External"/><Relationship Id="rId86" Type="http://schemas.openxmlformats.org/officeDocument/2006/relationships/hyperlink" Target="https://www.scopus.com/inward/record.uri?eid=2-s2.0-105007789133&amp;doi=10.1007%2Fs10278-024-01056-3&amp;partnerID=40&amp;md5=e410330f12c93ac71a07908580e96e1e" TargetMode="External"/><Relationship Id="rId85" Type="http://schemas.openxmlformats.org/officeDocument/2006/relationships/hyperlink" Target="https://www.scopus.com/inward/record.uri?eid=2-s2.0-105015892537&amp;doi=10.1109%2FICETAS62372.2024.11119958&amp;partnerID=40&amp;md5=2fb5de5458b9789098a36410aa807184" TargetMode="External"/><Relationship Id="rId88" Type="http://schemas.openxmlformats.org/officeDocument/2006/relationships/hyperlink" Target="https://www.scopus.com/inward/record.uri?eid=2-s2.0-85210989418&amp;doi=10.1109%2FACCESS.2024.3506334&amp;partnerID=40&amp;md5=f07481c6be34536b577aac8c7ec8bb39" TargetMode="External"/><Relationship Id="rId150" Type="http://schemas.openxmlformats.org/officeDocument/2006/relationships/hyperlink" Target="https://www.scopus.com/inward/record.uri?eid=2-s2.0-105022110315&amp;doi=10.1007%2Fs10916-025-02298-6&amp;partnerID=40&amp;md5=fdf81b1ce7c9bd3dae37491ee0fe3396" TargetMode="External"/><Relationship Id="rId87" Type="http://schemas.openxmlformats.org/officeDocument/2006/relationships/hyperlink" Target="https://www.scopus.com/inward/record.uri?eid=2-s2.0-85197428747&amp;doi=10.1007%2Fs12539-024-00621-2&amp;partnerID=40&amp;md5=7c640ad93f559c11f522172e6ca7bd7d" TargetMode="External"/><Relationship Id="rId89" Type="http://schemas.openxmlformats.org/officeDocument/2006/relationships/hyperlink" Target="https://www.scopus.com/inward/record.uri?eid=2-s2.0-85200196856&amp;doi=10.1201%2F9781003450153-14&amp;partnerID=40&amp;md5=46f8f51dfd5e9bea468ddadbb15ec6c5" TargetMode="External"/><Relationship Id="rId80" Type="http://schemas.openxmlformats.org/officeDocument/2006/relationships/hyperlink" Target="https://www.scopus.com/inward/record.uri?eid=2-s2.0-105001473402&amp;doi=10.1109%2FICSCSA64454.2024.00070&amp;partnerID=40&amp;md5=9be84a9c4fc8c0a306d37383c9b96b47" TargetMode="External"/><Relationship Id="rId82" Type="http://schemas.openxmlformats.org/officeDocument/2006/relationships/hyperlink" Target="https://www.scopus.com/inward/record.uri?eid=2-s2.0-85200950698&amp;doi=10.1007%2Fs00521-024-10298-9&amp;partnerID=40&amp;md5=3f912bba6607085a2482b4147b7e4d35" TargetMode="External"/><Relationship Id="rId81" Type="http://schemas.openxmlformats.org/officeDocument/2006/relationships/hyperlink" Target="https://www.scopus.com/inward/record.uri?eid=2-s2.0-85195238134&amp;doi=10.1109%2FICEEICT62016.2024.10534420&amp;partnerID=40&amp;md5=50c61d5be0a8e8214385c5e27f92d4d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scopus.com/inward/record.uri?eid=2-s2.0-105009115773&amp;doi=10.3390%2Fbioengineering12060640&amp;partnerID=40&amp;md5=bcad5d96c33468f1d61c3d870f01522e" TargetMode="External"/><Relationship Id="rId4" Type="http://schemas.openxmlformats.org/officeDocument/2006/relationships/hyperlink" Target="https://www.scopus.com/inward/record.uri?eid=2-s2.0-85052023801&amp;doi=10.5220%2F0006550700690077&amp;partnerID=40&amp;md5=a8da73e482f17fc0f87fdf61f24d2a82" TargetMode="External"/><Relationship Id="rId148" Type="http://schemas.openxmlformats.org/officeDocument/2006/relationships/hyperlink" Target="https://www.scopus.com/inward/record.uri?eid=2-s2.0-105007789333&amp;doi=10.1007%2Fs10278-024-01269-6&amp;partnerID=40&amp;md5=f9fcf85030c21094b08794cfda2e3762" TargetMode="External"/><Relationship Id="rId9" Type="http://schemas.openxmlformats.org/officeDocument/2006/relationships/hyperlink" Target="https://www.scopus.com/inward/record.uri?eid=2-s2.0-85092725831&amp;doi=10.1007%2F978-981-15-5566-4_40&amp;partnerID=40&amp;md5=6e196fdf9fa7acea758ac1273180ebe7" TargetMode="External"/><Relationship Id="rId143" Type="http://schemas.openxmlformats.org/officeDocument/2006/relationships/hyperlink" Target="https://www.scopus.com/inward/record.uri?eid=2-s2.0-85213270582&amp;doi=10.1016%2Fj.engappai.2024.109926&amp;partnerID=40&amp;md5=632b74e9bb4aa2715e9771d6fd4593b3" TargetMode="External"/><Relationship Id="rId142" Type="http://schemas.openxmlformats.org/officeDocument/2006/relationships/hyperlink" Target="https://www.scopus.com/inward/record.uri?eid=2-s2.0-105011980779&amp;doi=10.1007%2Fs44163-025-00426-2&amp;partnerID=40&amp;md5=5f52582615f6c57adb38dd8ee9ff5312" TargetMode="External"/><Relationship Id="rId141" Type="http://schemas.openxmlformats.org/officeDocument/2006/relationships/hyperlink" Target="https://www.scopus.com/inward/record.uri?eid=2-s2.0-105016355222&amp;doi=10.1002%2Fima.70205&amp;partnerID=40&amp;md5=a0fd8fad7c8454d4332707dbcf052d09" TargetMode="External"/><Relationship Id="rId140" Type="http://schemas.openxmlformats.org/officeDocument/2006/relationships/hyperlink" Target="https://www.scopus.com/inward/record.uri?eid=2-s2.0-85216938639&amp;doi=10.1002%2Frcs.70043&amp;partnerID=40&amp;md5=1306053363c81a204a57f2e9db64f30a" TargetMode="External"/><Relationship Id="rId5" Type="http://schemas.openxmlformats.org/officeDocument/2006/relationships/hyperlink" Target="https://www.scopus.com/inward/record.uri?eid=2-s2.0-85072901730&amp;doi=10.1007%2F978-3-030-30645-8_64&amp;partnerID=40&amp;md5=9f19b44d7075729e35846cda32bbe51b" TargetMode="External"/><Relationship Id="rId147" Type="http://schemas.openxmlformats.org/officeDocument/2006/relationships/hyperlink" Target="https://www.scopus.com/inward/record.uri?eid=2-s2.0-105010211419&amp;doi=10.1007%2F978-981-96-6585-3_23&amp;partnerID=40&amp;md5=558a50aa1e9a92bc0a6afdf4fe115545" TargetMode="External"/><Relationship Id="rId6" Type="http://schemas.openxmlformats.org/officeDocument/2006/relationships/hyperlink" Target="https://www.scopus.com/inward/record.uri?eid=2-s2.0-85077964825&amp;doi=10.1109%2FACCESS.2019.2960722&amp;partnerID=40&amp;md5=67da4ac6fe40be475c395aa316fdb2fe" TargetMode="External"/><Relationship Id="rId146" Type="http://schemas.openxmlformats.org/officeDocument/2006/relationships/hyperlink" Target="https://www.scopus.com/inward/record.uri?eid=2-s2.0-85209135738&amp;doi=10.1016%2Fj.eswa.2024.125738&amp;partnerID=40&amp;md5=f63eca2506f39327bb569826fb606f69" TargetMode="External"/><Relationship Id="rId7" Type="http://schemas.openxmlformats.org/officeDocument/2006/relationships/hyperlink" Target="https://www.scopus.com/inward/record.uri?eid=2-s2.0-85099272967&amp;doi=10.1109%2FIPTA50016.2020.9286653&amp;partnerID=40&amp;md5=2fbf0269703a803895ed30d3b9deaa9e" TargetMode="External"/><Relationship Id="rId145" Type="http://schemas.openxmlformats.org/officeDocument/2006/relationships/hyperlink" Target="https://www.scopus.com/inward/record.uri?eid=2-s2.0-105023568411&amp;doi=10.22266%2Fijies2025.0930.19&amp;partnerID=40&amp;md5=18a6d1fa25b6bcea3d40e4469c02b0db" TargetMode="External"/><Relationship Id="rId8" Type="http://schemas.openxmlformats.org/officeDocument/2006/relationships/hyperlink" Target="https://www.scopus.com/inward/record.uri?eid=2-s2.0-85086567155&amp;doi=10.1177%2F0161734620928453&amp;partnerID=40&amp;md5=cf1013a4a61fe2c418e678c32e1a8ca7" TargetMode="External"/><Relationship Id="rId144" Type="http://schemas.openxmlformats.org/officeDocument/2006/relationships/hyperlink" Target="https://www.scopus.com/inward/record.uri?eid=2-s2.0-105021507239&amp;doi=10.1007%2Fs40998-025-00916-0&amp;partnerID=40&amp;md5=73415bb81fdba9933807077d4b457ba8" TargetMode="External"/><Relationship Id="rId73" Type="http://schemas.openxmlformats.org/officeDocument/2006/relationships/hyperlink" Target="https://www.scopus.com/inward/record.uri?eid=2-s2.0-85205341198&amp;doi=10.1016%2Fj.heliyon.2024.e38410&amp;partnerID=40&amp;md5=4edc8cb7c9c4442322cf8493b0c31c0b" TargetMode="External"/><Relationship Id="rId72" Type="http://schemas.openxmlformats.org/officeDocument/2006/relationships/hyperlink" Target="https://www.scopus.com/inward/record.uri?eid=2-s2.0-85189008135&amp;doi=10.1016%2Fj.compbiomed.2024.108303&amp;partnerID=40&amp;md5=e9e7bbd56b1aa8cc55d278cc8213bfec" TargetMode="External"/><Relationship Id="rId75" Type="http://schemas.openxmlformats.org/officeDocument/2006/relationships/hyperlink" Target="https://www.scopus.com/inward/record.uri?eid=2-s2.0-85209649163&amp;doi=10.1109%2FICoCET63343.2024.10730618&amp;partnerID=40&amp;md5=166d6663e9c2e809288ecee6e68a55f5" TargetMode="External"/><Relationship Id="rId74" Type="http://schemas.openxmlformats.org/officeDocument/2006/relationships/hyperlink" Target="https://www.scopus.com/inward/record.uri?eid=2-s2.0-85190406689&amp;doi=10.1007%2F978-3-031-56703-2_31&amp;partnerID=40&amp;md5=aee99544cb9a181b8138485e1f6af6cd" TargetMode="External"/><Relationship Id="rId77" Type="http://schemas.openxmlformats.org/officeDocument/2006/relationships/hyperlink" Target="https://www.scopus.com/inward/record.uri?eid=2-s2.0-85195398942&amp;doi=10.1109%2FICNWC60771.2024.10537581&amp;partnerID=40&amp;md5=0708e44e542b3302a8a667101a738a34" TargetMode="External"/><Relationship Id="rId76" Type="http://schemas.openxmlformats.org/officeDocument/2006/relationships/hyperlink" Target="https://www.scopus.com/inward/record.uri?eid=2-s2.0-85217407092&amp;doi=10.1109%2FCogMI62246.2024.00040&amp;partnerID=40&amp;md5=fce7c1565014bc8830fb73c89da45299" TargetMode="External"/><Relationship Id="rId79" Type="http://schemas.openxmlformats.org/officeDocument/2006/relationships/hyperlink" Target="https://www.scopus.com/inward/record.uri?eid=2-s2.0-105000626612&amp;doi=10.1109%2FICBME64381.2024.10895619&amp;partnerID=40&amp;md5=ba3ab5ef28d277b2e76410d8ec4f92aa" TargetMode="External"/><Relationship Id="rId78" Type="http://schemas.openxmlformats.org/officeDocument/2006/relationships/hyperlink" Target="https://www.scopus.com/inward/record.uri?eid=2-s2.0-85199145295&amp;doi=10.1109%2FICITIIT61487.2024.10580378&amp;partnerID=40&amp;md5=6b6a6257d6458f53ea05bcf2752704f8" TargetMode="External"/><Relationship Id="rId71" Type="http://schemas.openxmlformats.org/officeDocument/2006/relationships/hyperlink" Target="https://www.scopus.com/inward/record.uri?eid=2-s2.0-85209652985&amp;doi=10.1109%2FACCESS.2024.3496117&amp;partnerID=40&amp;md5=a43c653493f65263f3c6a05d6fd82e76" TargetMode="External"/><Relationship Id="rId70" Type="http://schemas.openxmlformats.org/officeDocument/2006/relationships/hyperlink" Target="https://www.scopus.com/inward/record.uri?eid=2-s2.0-85216213302&amp;doi=10.1109%2FBioCAS61083.2024.10798396&amp;partnerID=40&amp;md5=6d39fdc7c5885d43c96b17842393756f" TargetMode="External"/><Relationship Id="rId139" Type="http://schemas.openxmlformats.org/officeDocument/2006/relationships/hyperlink" Target="https://www.scopus.com/inward/record.uri?eid=2-s2.0-105017806547&amp;doi=10.1109%2FICTAS64866.2025.11155355&amp;partnerID=40&amp;md5=0f9797ec4f4c420d4d8fd3ac7f046cd9" TargetMode="External"/><Relationship Id="rId138" Type="http://schemas.openxmlformats.org/officeDocument/2006/relationships/hyperlink" Target="https://www.scopus.com/inward/record.uri?eid=2-s2.0-85214326452&amp;doi=10.1016%2Fj.eswa.2024.126223&amp;partnerID=40&amp;md5=9779535bd1cd90a9601cd252c802f3be" TargetMode="External"/><Relationship Id="rId137" Type="http://schemas.openxmlformats.org/officeDocument/2006/relationships/hyperlink" Target="https://www.scopus.com/inward/record.uri?eid=2-s2.0-85208320170&amp;doi=10.1201%2F9781003501244-58&amp;partnerID=40&amp;md5=c834ecba2150c28ed276e45932a43501" TargetMode="External"/><Relationship Id="rId132" Type="http://schemas.openxmlformats.org/officeDocument/2006/relationships/hyperlink" Target="https://www.scopus.com/inward/record.uri?eid=2-s2.0-105012020242&amp;doi=10.1049%2Ficp.2025.1298&amp;partnerID=40&amp;md5=87fd63f5b6c90916fdf1a738380c3b06" TargetMode="External"/><Relationship Id="rId131" Type="http://schemas.openxmlformats.org/officeDocument/2006/relationships/hyperlink" Target="https://www.scopus.com/inward/record.uri?eid=2-s2.0-105007549200&amp;doi=10.1109%2FISQED65160.2025.11014334&amp;partnerID=40&amp;md5=107b8adae4032c47982cdde94f9aaebb" TargetMode="External"/><Relationship Id="rId130" Type="http://schemas.openxmlformats.org/officeDocument/2006/relationships/hyperlink" Target="https://www.scopus.com/inward/record.uri?eid=2-s2.0-105015537375&amp;doi=10.22266%2Fijies2025.0731.49&amp;partnerID=40&amp;md5=ff2ecbe48df342f3a9ffbf13d3f29220" TargetMode="External"/><Relationship Id="rId136" Type="http://schemas.openxmlformats.org/officeDocument/2006/relationships/hyperlink" Target="https://www.scopus.com/inward/record.uri?eid=2-s2.0-105016905581&amp;doi=10.1109%2FISITIA66279.2025.11137567&amp;partnerID=40&amp;md5=59fbbeb6d47e12f750d8d28710d6e111" TargetMode="External"/><Relationship Id="rId135" Type="http://schemas.openxmlformats.org/officeDocument/2006/relationships/hyperlink" Target="https://www.scopus.com/inward/record.uri?eid=2-s2.0-105019357075&amp;doi=10.1007%2Fs44174-025-00547-3&amp;partnerID=40&amp;md5=9620ba1aba501c20b4139a0b589f314d" TargetMode="External"/><Relationship Id="rId134" Type="http://schemas.openxmlformats.org/officeDocument/2006/relationships/hyperlink" Target="https://www.scopus.com/inward/record.uri?eid=2-s2.0-105024146707&amp;doi=10.1002%2Fmp.70189&amp;partnerID=40&amp;md5=4fb3751cf966f59df683e576f98afe45" TargetMode="External"/><Relationship Id="rId133" Type="http://schemas.openxmlformats.org/officeDocument/2006/relationships/hyperlink" Target="https://www.scopus.com/inward/record.uri?eid=2-s2.0-105014021476&amp;doi=10.22266%2Fijies2025.0831.33&amp;partnerID=40&amp;md5=15717287e09ebc4cf88d0aeaaaa38b29" TargetMode="External"/><Relationship Id="rId62" Type="http://schemas.openxmlformats.org/officeDocument/2006/relationships/hyperlink" Target="https://www.scopus.com/inward/record.uri?eid=2-s2.0-85164922761&amp;partnerID=40&amp;md5=d880d5fc9abc57f7b03363fc1dc6a912" TargetMode="External"/><Relationship Id="rId61" Type="http://schemas.openxmlformats.org/officeDocument/2006/relationships/hyperlink" Target="https://www.scopus.com/inward/record.uri?eid=2-s2.0-85161397779&amp;partnerID=40&amp;md5=825b7662f9eaffc00460cb0eda33583b" TargetMode="External"/><Relationship Id="rId64" Type="http://schemas.openxmlformats.org/officeDocument/2006/relationships/hyperlink" Target="https://www.scopus.com/inward/record.uri?eid=2-s2.0-85168135808&amp;partnerID=40&amp;md5=4a0fd9326cdc3d557756a1486b1692eb" TargetMode="External"/><Relationship Id="rId63" Type="http://schemas.openxmlformats.org/officeDocument/2006/relationships/hyperlink" Target="https://www.scopus.com/inward/record.uri?eid=2-s2.0-85189982479&amp;partnerID=40&amp;md5=79f59d0abd7b45837c07bbc68f2ad606" TargetMode="External"/><Relationship Id="rId66" Type="http://schemas.openxmlformats.org/officeDocument/2006/relationships/hyperlink" Target="https://www.scopus.com/inward/record.uri?eid=2-s2.0-85197368415&amp;doi=10.1007%2Fs11042-024-19667-x&amp;partnerID=40&amp;md5=07c57692e436c8a336eca0f5a784b8e8" TargetMode="External"/><Relationship Id="rId65" Type="http://schemas.openxmlformats.org/officeDocument/2006/relationships/hyperlink" Target="https://www.scopus.com/inward/record.uri?eid=2-s2.0-85191815479&amp;doi=10.1016%2Fj.eswa.2024.124113&amp;partnerID=40&amp;md5=9183e2d869057da768091324b7932d88" TargetMode="External"/><Relationship Id="rId68" Type="http://schemas.openxmlformats.org/officeDocument/2006/relationships/hyperlink" Target="https://www.scopus.com/inward/record.uri?eid=2-s2.0-85188515279&amp;doi=10.1007%2Fs11082-024-06657-4&amp;partnerID=40&amp;md5=94125599b780210029ddace59492ce78" TargetMode="External"/><Relationship Id="rId67" Type="http://schemas.openxmlformats.org/officeDocument/2006/relationships/hyperlink" Target="https://www.scopus.com/inward/record.uri?eid=2-s2.0-85210976449&amp;doi=10.1109%2FACCESS.2024.3508780&amp;partnerID=40&amp;md5=89e2a949087bf423612dd6995ba31f92" TargetMode="External"/><Relationship Id="rId60" Type="http://schemas.openxmlformats.org/officeDocument/2006/relationships/hyperlink" Target="https://www.scopus.com/inward/record.uri?eid=2-s2.0-85191413740&amp;doi=10.1145%2F3638782.3638836&amp;partnerID=40&amp;md5=b5f5b52c04d36fdf85f00ea1f966c253" TargetMode="External"/><Relationship Id="rId165" Type="http://schemas.openxmlformats.org/officeDocument/2006/relationships/hyperlink" Target="https://www.scopus.com/inward/record.uri?eid=2-s2.0-105011360736&amp;partnerID=40&amp;md5=b28c76d835bc37d2e99fd95af00df13f" TargetMode="External"/><Relationship Id="rId69" Type="http://schemas.openxmlformats.org/officeDocument/2006/relationships/hyperlink" Target="https://www.scopus.com/inward/record.uri?eid=2-s2.0-85180281854&amp;doi=10.1109%2FJERM.2023.3337660&amp;partnerID=40&amp;md5=2aa183a8fcfc96be6315b0821b83857c" TargetMode="External"/><Relationship Id="rId164" Type="http://schemas.openxmlformats.org/officeDocument/2006/relationships/hyperlink" Target="https://www.scopus.com/inward/record.uri?eid=2-s2.0-105020704025&amp;partnerID=40&amp;md5=30fb2a9fd8aadeedf5c66068e4723937" TargetMode="External"/><Relationship Id="rId163" Type="http://schemas.openxmlformats.org/officeDocument/2006/relationships/hyperlink" Target="https://www.scopus.com/inward/record.uri?eid=2-s2.0-105020807763&amp;partnerID=40&amp;md5=50c612cf335d392c43da9291577fa56a" TargetMode="External"/><Relationship Id="rId162" Type="http://schemas.openxmlformats.org/officeDocument/2006/relationships/hyperlink" Target="https://www.scopus.com/inward/record.uri?eid=2-s2.0-105022977980&amp;doi=10.1007%2F978-3-032-10990-3_3&amp;partnerID=40&amp;md5=2b9dfc389912c7473ad9b29e61ac4876" TargetMode="External"/><Relationship Id="rId167" Type="http://schemas.openxmlformats.org/officeDocument/2006/relationships/vmlDrawing" Target="../drawings/vmlDrawing1.vml"/><Relationship Id="rId166" Type="http://schemas.openxmlformats.org/officeDocument/2006/relationships/drawing" Target="../drawings/drawing2.xml"/><Relationship Id="rId51" Type="http://schemas.openxmlformats.org/officeDocument/2006/relationships/hyperlink" Target="https://www.scopus.com/inward/record.uri?eid=2-s2.0-85180677552&amp;doi=10.3390%2Felectronics12244923&amp;partnerID=40&amp;md5=10fad17f7a199a625cfd8ed269f9abc0" TargetMode="External"/><Relationship Id="rId50" Type="http://schemas.openxmlformats.org/officeDocument/2006/relationships/hyperlink" Target="https://www.scopus.com/inward/record.uri?eid=2-s2.0-85145999195&amp;doi=10.3390%2Fcancers15010012&amp;partnerID=40&amp;md5=e71f32193da4c869f31db79c97fb065d" TargetMode="External"/><Relationship Id="rId53" Type="http://schemas.openxmlformats.org/officeDocument/2006/relationships/hyperlink" Target="https://www.scopus.com/inward/record.uri?eid=2-s2.0-85146743965&amp;doi=10.3390%2Fdiagnostics13020299&amp;partnerID=40&amp;md5=7c3a1c014812efda09822639fbab7e86" TargetMode="External"/><Relationship Id="rId52" Type="http://schemas.openxmlformats.org/officeDocument/2006/relationships/hyperlink" Target="https://www.scopus.com/inward/record.uri?eid=2-s2.0-85189925974&amp;doi=10.1109%2FMoSICom59118.2023.10458762&amp;partnerID=40&amp;md5=5b24cc23540d95cd95843549f780446f" TargetMode="External"/><Relationship Id="rId55" Type="http://schemas.openxmlformats.org/officeDocument/2006/relationships/hyperlink" Target="https://www.scopus.com/inward/record.uri?eid=2-s2.0-85168921202&amp;partnerID=40&amp;md5=b0f7b1d94443d41f6f82fbda63f1c53d" TargetMode="External"/><Relationship Id="rId161" Type="http://schemas.openxmlformats.org/officeDocument/2006/relationships/hyperlink" Target="https://www.scopus.com/inward/record.uri?eid=2-s2.0-105023191105&amp;doi=10.1007%2F978-981-95-4381-6_13&amp;partnerID=40&amp;md5=76635e30a7f17f88b4c584ff1c760a80" TargetMode="External"/><Relationship Id="rId54" Type="http://schemas.openxmlformats.org/officeDocument/2006/relationships/hyperlink" Target="https://www.scopus.com/inward/record.uri?eid=2-s2.0-85189939027&amp;doi=10.1109%2FAICS60730.2023.10470496&amp;partnerID=40&amp;md5=8d529085a39d70e254723aadb160592a" TargetMode="External"/><Relationship Id="rId160" Type="http://schemas.openxmlformats.org/officeDocument/2006/relationships/hyperlink" Target="https://www.scopus.com/inward/record.uri?eid=2-s2.0-105023961528&amp;doi=10.1016%2Fj.bspc.2025.109336&amp;partnerID=40&amp;md5=568ab874f496a95afcd8a872cefff7a9" TargetMode="External"/><Relationship Id="rId57" Type="http://schemas.openxmlformats.org/officeDocument/2006/relationships/hyperlink" Target="https://www.scopus.com/inward/record.uri?eid=2-s2.0-85193588868&amp;doi=10.23967%2Fj.rimni.2023.08.002&amp;partnerID=40&amp;md5=693b397c8f41ed1e9bfec302313e3ed7" TargetMode="External"/><Relationship Id="rId56" Type="http://schemas.openxmlformats.org/officeDocument/2006/relationships/hyperlink" Target="https://www.scopus.com/inward/record.uri?eid=2-s2.0-85152659545&amp;doi=10.1016%2Fj.jpi.2023.100306&amp;partnerID=40&amp;md5=ab74843ff4b0e0784100da5a8e7d0040" TargetMode="External"/><Relationship Id="rId159" Type="http://schemas.openxmlformats.org/officeDocument/2006/relationships/hyperlink" Target="https://www.scopus.com/inward/record.uri?eid=2-s2.0-105018916964&amp;doi=10.1016%2Fj.bspc.2025.108957&amp;partnerID=40&amp;md5=020af2d2b9cb976f3867990e09069bbb" TargetMode="External"/><Relationship Id="rId59" Type="http://schemas.openxmlformats.org/officeDocument/2006/relationships/hyperlink" Target="https://www.scopus.com/inward/record.uri?eid=2-s2.0-85162885117&amp;doi=10.11834%2Fjig.211207&amp;partnerID=40&amp;md5=043d6c230cdd8bfed947080bd9374f24" TargetMode="External"/><Relationship Id="rId154" Type="http://schemas.openxmlformats.org/officeDocument/2006/relationships/hyperlink" Target="https://www.scopus.com/inward/record.uri?eid=2-s2.0-85219172817&amp;partnerID=40&amp;md5=a6dedea121669a645badc87c1861017f" TargetMode="External"/><Relationship Id="rId58" Type="http://schemas.openxmlformats.org/officeDocument/2006/relationships/hyperlink" Target="https://www.scopus.com/inward/record.uri?eid=2-s2.0-85152938328&amp;doi=10.3934%2Fmbe.2023457&amp;partnerID=40&amp;md5=9f25c627e323db9a1853641158e98277" TargetMode="External"/><Relationship Id="rId153" Type="http://schemas.openxmlformats.org/officeDocument/2006/relationships/hyperlink" Target="https://www.scopus.com/inward/record.uri?eid=2-s2.0-85219172557&amp;partnerID=40&amp;md5=f7d40faac9c3d1fc6e1e6c6758a3d71f" TargetMode="External"/><Relationship Id="rId152" Type="http://schemas.openxmlformats.org/officeDocument/2006/relationships/hyperlink" Target="https://www.scopus.com/inward/record.uri?eid=2-s2.0-85207684893&amp;partnerID=40&amp;md5=f05f598082aaa1913b944d1b0ba9fd08" TargetMode="External"/><Relationship Id="rId151" Type="http://schemas.openxmlformats.org/officeDocument/2006/relationships/hyperlink" Target="https://www.scopus.com/inward/record.uri?eid=2-s2.0-105023189687&amp;doi=10.1016%2Fj.rineng.2025.107600&amp;partnerID=40&amp;md5=3d0571c7fd81596048b37b43fd42aeed" TargetMode="External"/><Relationship Id="rId158" Type="http://schemas.openxmlformats.org/officeDocument/2006/relationships/hyperlink" Target="https://www.scopus.com/inward/record.uri?eid=2-s2.0-105002576396&amp;partnerID=40&amp;md5=9618c057487310401bb53d4a16c8c495" TargetMode="External"/><Relationship Id="rId157" Type="http://schemas.openxmlformats.org/officeDocument/2006/relationships/hyperlink" Target="https://www.scopus.com/inward/record.uri?eid=2-s2.0-105002727288&amp;partnerID=40&amp;md5=566256cd2939b0a177cc21fe40138721" TargetMode="External"/><Relationship Id="rId156" Type="http://schemas.openxmlformats.org/officeDocument/2006/relationships/hyperlink" Target="https://www.scopus.com/inward/record.uri?eid=2-s2.0-86000031957&amp;partnerID=40&amp;md5=592dc29ff4df9ca16bd465de27e59304" TargetMode="External"/><Relationship Id="rId155" Type="http://schemas.openxmlformats.org/officeDocument/2006/relationships/hyperlink" Target="https://www.scopus.com/inward/record.uri?eid=2-s2.0-105023326079&amp;partnerID=40&amp;md5=215c93f318498de8193b7734eb137ee9"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scopus.com/inward/record.uri?eid=2-s2.0-85212277710&amp;doi=10.1007%2F978-3-031-78198-8_19&amp;partnerID=40&amp;md5=fb93b8e821b817116b2170c0a9fada14" TargetMode="External"/><Relationship Id="rId42" Type="http://schemas.openxmlformats.org/officeDocument/2006/relationships/hyperlink" Target="https://www.scopus.com/inward/record.uri?eid=2-s2.0-85207684893&amp;partnerID=40&amp;md5=f05f598082aaa1913b944d1b0ba9fd08" TargetMode="External"/><Relationship Id="rId41" Type="http://schemas.openxmlformats.org/officeDocument/2006/relationships/hyperlink" Target="https://www.scopus.com/inward/record.uri?eid=2-s2.0-85208320170&amp;doi=10.1201%2F9781003501244-58&amp;partnerID=40&amp;md5=c834ecba2150c28ed276e45932a43501" TargetMode="External"/><Relationship Id="rId44" Type="http://schemas.openxmlformats.org/officeDocument/2006/relationships/hyperlink" Target="https://www.scopus.com/inward/record.uri?eid=2-s2.0-105024009698&amp;doi=10.1007%2Fs44174-025-00527-7&amp;partnerID=40&amp;md5=4da6f0308fefc016ed35c08d079c86ab" TargetMode="External"/><Relationship Id="rId43" Type="http://schemas.openxmlformats.org/officeDocument/2006/relationships/hyperlink" Target="https://www.scopus.com/inward/record.uri?eid=2-s2.0-85179734403&amp;doi=10.1080%2F10255842.2023.2292009&amp;partnerID=40&amp;md5=4c588f2638cac677f5d89fbcf609c9bc" TargetMode="External"/><Relationship Id="rId46" Type="http://schemas.openxmlformats.org/officeDocument/2006/relationships/hyperlink" Target="https://www.scopus.com/inward/record.uri?eid=2-s2.0-105022621387&amp;doi=10.1109%2FACCESS.2025.3634473&amp;partnerID=40&amp;md5=2cb3cd8eee3e3601b19971294596ca22" TargetMode="External"/><Relationship Id="rId45" Type="http://schemas.openxmlformats.org/officeDocument/2006/relationships/hyperlink" Target="https://www.scopus.com/inward/record.uri?eid=2-s2.0-105023326079&amp;partnerID=40&amp;md5=215c93f318498de8193b7734eb137ee9" TargetMode="External"/><Relationship Id="rId107" Type="http://schemas.openxmlformats.org/officeDocument/2006/relationships/hyperlink" Target="https://www.scopus.com/inward/record.uri?eid=2-s2.0-105015892537&amp;doi=10.1109%2FICETAS62372.2024.11119958&amp;partnerID=40&amp;md5=2fb5de5458b9789098a36410aa807184" TargetMode="External"/><Relationship Id="rId106" Type="http://schemas.openxmlformats.org/officeDocument/2006/relationships/hyperlink" Target="https://www.scopus.com/inward/record.uri?eid=2-s2.0-85188740503&amp;doi=10.13053%2FCyS-28-1-4892&amp;partnerID=40&amp;md5=a9a8535e7bfcbd0ca99003d85867d629" TargetMode="External"/><Relationship Id="rId105" Type="http://schemas.openxmlformats.org/officeDocument/2006/relationships/hyperlink" Target="https://www.scopus.com/inward/record.uri?eid=2-s2.0-85190406689&amp;doi=10.1007%2F978-3-031-56703-2_31&amp;partnerID=40&amp;md5=aee99544cb9a181b8138485e1f6af6cd" TargetMode="External"/><Relationship Id="rId104" Type="http://schemas.openxmlformats.org/officeDocument/2006/relationships/hyperlink" Target="https://www.scopus.com/inward/record.uri?eid=2-s2.0-85195238134&amp;doi=10.1109%2FICEEICT62016.2024.10534420&amp;partnerID=40&amp;md5=50c61d5be0a8e8214385c5e27f92d4de" TargetMode="External"/><Relationship Id="rId109" Type="http://schemas.openxmlformats.org/officeDocument/2006/relationships/hyperlink" Target="https://www.scopus.com/inward/record.uri?eid=2-s2.0-105000626612&amp;doi=10.1109%2FICBME64381.2024.10895619&amp;partnerID=40&amp;md5=ba3ab5ef28d277b2e76410d8ec4f92aa" TargetMode="External"/><Relationship Id="rId108" Type="http://schemas.openxmlformats.org/officeDocument/2006/relationships/hyperlink" Target="https://www.scopus.com/inward/record.uri?eid=2-s2.0-105001473402&amp;doi=10.1109%2FICSCSA64454.2024.00070&amp;partnerID=40&amp;md5=9be84a9c4fc8c0a306d37383c9b96b47" TargetMode="External"/><Relationship Id="rId48" Type="http://schemas.openxmlformats.org/officeDocument/2006/relationships/hyperlink" Target="https://www.scopus.com/inward/record.uri?eid=2-s2.0-105022247344&amp;partnerID=40&amp;md5=3e1c730e026d9d30a0b1de328a2663e1" TargetMode="External"/><Relationship Id="rId47" Type="http://schemas.openxmlformats.org/officeDocument/2006/relationships/hyperlink" Target="https://www.scopus.com/inward/record.uri?eid=2-s2.0-105022262209&amp;doi=10.1109%2FICMCTC62214.2025.11196182&amp;partnerID=40&amp;md5=d9b404f5c4881a1e454c1ac12fa2a2e3" TargetMode="External"/><Relationship Id="rId49" Type="http://schemas.openxmlformats.org/officeDocument/2006/relationships/hyperlink" Target="https://www.scopus.com/inward/record.uri?eid=2-s2.0-105021946444&amp;doi=10.1109%2FICIMIA67127.2025.11200577&amp;partnerID=40&amp;md5=a87a108a89689e25b638b8c44e26cb7c" TargetMode="External"/><Relationship Id="rId103" Type="http://schemas.openxmlformats.org/officeDocument/2006/relationships/hyperlink" Target="https://www.scopus.com/inward/record.uri?eid=2-s2.0-85195398942&amp;doi=10.1109%2FICNWC60771.2024.10537581&amp;partnerID=40&amp;md5=0708e44e542b3302a8a667101a738a34" TargetMode="External"/><Relationship Id="rId102" Type="http://schemas.openxmlformats.org/officeDocument/2006/relationships/hyperlink" Target="https://www.scopus.com/inward/record.uri?eid=2-s2.0-85197567970&amp;doi=10.1109%2FICBSII61384.2024.10564079&amp;partnerID=40&amp;md5=395cae1567e04dccd21457ef3d793001" TargetMode="External"/><Relationship Id="rId101" Type="http://schemas.openxmlformats.org/officeDocument/2006/relationships/hyperlink" Target="https://www.scopus.com/inward/record.uri?eid=2-s2.0-85199145295&amp;doi=10.1109%2FICITIIT61487.2024.10580378&amp;partnerID=40&amp;md5=6b6a6257d6458f53ea05bcf2752704f8" TargetMode="External"/><Relationship Id="rId100" Type="http://schemas.openxmlformats.org/officeDocument/2006/relationships/hyperlink" Target="https://www.scopus.com/inward/record.uri?eid=2-s2.0-85200196856&amp;doi=10.1201%2F9781003450153-14&amp;partnerID=40&amp;md5=46f8f51dfd5e9bea468ddadbb15ec6c5" TargetMode="External"/><Relationship Id="rId31" Type="http://schemas.openxmlformats.org/officeDocument/2006/relationships/hyperlink" Target="https://www.scopus.com/inward/record.uri?eid=2-s2.0-86000031957&amp;partnerID=40&amp;md5=592dc29ff4df9ca16bd465de27e59304" TargetMode="External"/><Relationship Id="rId30" Type="http://schemas.openxmlformats.org/officeDocument/2006/relationships/hyperlink" Target="https://www.scopus.com/inward/record.uri?eid=2-s2.0-85216120907&amp;partnerID=40&amp;md5=8e84515b90dfa1ef6cc5b268b830c812" TargetMode="External"/><Relationship Id="rId33" Type="http://schemas.openxmlformats.org/officeDocument/2006/relationships/hyperlink" Target="https://www.scopus.com/inward/record.uri?eid=2-s2.0-85219183459&amp;doi=10.1007%2F978-3-031-77789-9_10&amp;partnerID=40&amp;md5=1c4f86926593d3f500e6a340e24aba67" TargetMode="External"/><Relationship Id="rId32" Type="http://schemas.openxmlformats.org/officeDocument/2006/relationships/hyperlink" Target="https://www.scopus.com/inward/record.uri?eid=2-s2.0-85219380788&amp;partnerID=40&amp;md5=fd752c72e769389a2766a95c3b27506d" TargetMode="External"/><Relationship Id="rId35" Type="http://schemas.openxmlformats.org/officeDocument/2006/relationships/hyperlink" Target="https://www.scopus.com/inward/record.uri?eid=2-s2.0-85219172557&amp;partnerID=40&amp;md5=f7d40faac9c3d1fc6e1e6c6758a3d71f" TargetMode="External"/><Relationship Id="rId34" Type="http://schemas.openxmlformats.org/officeDocument/2006/relationships/hyperlink" Target="https://www.scopus.com/inward/record.uri?eid=2-s2.0-85219172817&amp;partnerID=40&amp;md5=a6dedea121669a645badc87c1861017f" TargetMode="External"/><Relationship Id="rId37" Type="http://schemas.openxmlformats.org/officeDocument/2006/relationships/hyperlink" Target="https://www.scopus.com/inward/record.uri?eid=2-s2.0-85216392400&amp;doi=10.31436%2FIIUMEJ.V26I1.3221&amp;partnerID=40&amp;md5=d5c4afba48d38caacbbeceee7ead2d51" TargetMode="External"/><Relationship Id="rId36" Type="http://schemas.openxmlformats.org/officeDocument/2006/relationships/hyperlink" Target="https://www.scopus.com/inward/record.uri?eid=2-s2.0-85217015380&amp;doi=10.1109%2FTAI.2025.3536424&amp;partnerID=40&amp;md5=3a16379b22710aecb9e00307936919cb" TargetMode="External"/><Relationship Id="rId39" Type="http://schemas.openxmlformats.org/officeDocument/2006/relationships/hyperlink" Target="https://www.scopus.com/inward/record.uri?eid=2-s2.0-85214276563&amp;doi=10.52783%2Fpmj.v35.i1.2045&amp;partnerID=40&amp;md5=d88a7540acd4c0214bbc9d81a4e66daa" TargetMode="External"/><Relationship Id="rId38" Type="http://schemas.openxmlformats.org/officeDocument/2006/relationships/hyperlink" Target="https://www.scopus.com/inward/record.uri?eid=2-s2.0-85215948352&amp;doi=10.3390%2Fbioengineering12010073&amp;partnerID=40&amp;md5=f556787566874720c7650cbe95e93047" TargetMode="External"/><Relationship Id="rId20" Type="http://schemas.openxmlformats.org/officeDocument/2006/relationships/hyperlink" Target="https://www.scopus.com/inward/record.uri?eid=2-s2.0-105015537375&amp;doi=10.22266%2Fijies2025.0731.49&amp;partnerID=40&amp;md5=ff2ecbe48df342f3a9ffbf13d3f29220" TargetMode="External"/><Relationship Id="rId22" Type="http://schemas.openxmlformats.org/officeDocument/2006/relationships/hyperlink" Target="https://www.scopus.com/inward/record.uri?eid=2-s2.0-105011323259&amp;doi=10.1007%2Fs11042-024-20234-7&amp;partnerID=40&amp;md5=0d12346861c9d2c1c23267857b977060" TargetMode="External"/><Relationship Id="rId21" Type="http://schemas.openxmlformats.org/officeDocument/2006/relationships/hyperlink" Target="https://www.scopus.com/inward/record.uri?eid=2-s2.0-105023782596&amp;doi=10.1109%2FEMBC58623.2025.11253875&amp;partnerID=40&amp;md5=116bcec105ca9725518fc2516a52c8f7" TargetMode="External"/><Relationship Id="rId24" Type="http://schemas.openxmlformats.org/officeDocument/2006/relationships/hyperlink" Target="https://www.scopus.com/inward/record.uri?eid=2-s2.0-105009115773&amp;doi=10.3390%2Fbioengineering12060640&amp;partnerID=40&amp;md5=bcad5d96c33468f1d61c3d870f01522e" TargetMode="External"/><Relationship Id="rId23" Type="http://schemas.openxmlformats.org/officeDocument/2006/relationships/hyperlink" Target="https://www.scopus.com/inward/record.uri?eid=2-s2.0-105013318948&amp;doi=10.1016%2Fj.engmed.2024.100053&amp;partnerID=40&amp;md5=bf1655a151b007a31ed315279e2af3b6" TargetMode="External"/><Relationship Id="rId129" Type="http://schemas.openxmlformats.org/officeDocument/2006/relationships/hyperlink" Target="https://www.scopus.com/inward/record.uri?eid=2-s2.0-85145999195&amp;doi=10.3390%2Fcancers15010012&amp;partnerID=40&amp;md5=e71f32193da4c869f31db79c97fb065d" TargetMode="External"/><Relationship Id="rId128" Type="http://schemas.openxmlformats.org/officeDocument/2006/relationships/hyperlink" Target="https://www.scopus.com/inward/record.uri?eid=2-s2.0-85146743965&amp;doi=10.3390%2Fdiagnostics13020299&amp;partnerID=40&amp;md5=7c3a1c014812efda09822639fbab7e86" TargetMode="External"/><Relationship Id="rId127" Type="http://schemas.openxmlformats.org/officeDocument/2006/relationships/hyperlink" Target="https://www.scopus.com/inward/record.uri?eid=2-s2.0-85152659545&amp;doi=10.1016%2Fj.jpi.2023.100306&amp;partnerID=40&amp;md5=ab74843ff4b0e0784100da5a8e7d0040" TargetMode="External"/><Relationship Id="rId126" Type="http://schemas.openxmlformats.org/officeDocument/2006/relationships/hyperlink" Target="https://www.scopus.com/inward/record.uri?eid=2-s2.0-85152938328&amp;doi=10.3934%2Fmbe.2023457&amp;partnerID=40&amp;md5=9f25c627e323db9a1853641158e98277" TargetMode="External"/><Relationship Id="rId26" Type="http://schemas.openxmlformats.org/officeDocument/2006/relationships/hyperlink" Target="https://www.scopus.com/inward/record.uri?eid=2-s2.0-85214326452&amp;doi=10.1016%2Fj.eswa.2024.126223&amp;partnerID=40&amp;md5=9779535bd1cd90a9601cd252c802f3be" TargetMode="External"/><Relationship Id="rId121" Type="http://schemas.openxmlformats.org/officeDocument/2006/relationships/hyperlink" Target="https://www.scopus.com/inward/record.uri?eid=2-s2.0-85176360213&amp;doi=10.1109%2FACCESS.2023.3326478&amp;partnerID=40&amp;md5=defa7bec33910c909d23e0d8c16b08b7" TargetMode="External"/><Relationship Id="rId25" Type="http://schemas.openxmlformats.org/officeDocument/2006/relationships/hyperlink" Target="https://www.scopus.com/inward/record.uri?eid=2-s2.0-105007789333&amp;doi=10.1007%2Fs10278-024-01269-6&amp;partnerID=40&amp;md5=f9fcf85030c21094b08794cfda2e3762" TargetMode="External"/><Relationship Id="rId120" Type="http://schemas.openxmlformats.org/officeDocument/2006/relationships/hyperlink" Target="https://www.scopus.com/inward/record.uri?eid=2-s2.0-85187778482&amp;doi=10.1109%2FICDSAAI59313.2023.10452524&amp;partnerID=40&amp;md5=b9ce44cd5925d141f7b3aaabdb502ce1" TargetMode="External"/><Relationship Id="rId28" Type="http://schemas.openxmlformats.org/officeDocument/2006/relationships/hyperlink" Target="https://www.scopus.com/inward/record.uri?eid=2-s2.0-85213270582&amp;doi=10.1016%2Fj.engappai.2024.109926&amp;partnerID=40&amp;md5=632b74e9bb4aa2715e9771d6fd4593b3" TargetMode="External"/><Relationship Id="rId27" Type="http://schemas.openxmlformats.org/officeDocument/2006/relationships/hyperlink" Target="https://www.scopus.com/inward/record.uri?eid=2-s2.0-85209135738&amp;doi=10.1016%2Fj.eswa.2024.125738&amp;partnerID=40&amp;md5=f63eca2506f39327bb569826fb606f69" TargetMode="External"/><Relationship Id="rId125" Type="http://schemas.openxmlformats.org/officeDocument/2006/relationships/hyperlink" Target="https://www.scopus.com/inward/record.uri?eid=2-s2.0-85161397779&amp;partnerID=40&amp;md5=825b7662f9eaffc00460cb0eda33583b" TargetMode="External"/><Relationship Id="rId29" Type="http://schemas.openxmlformats.org/officeDocument/2006/relationships/hyperlink" Target="https://www.scopus.com/inward/record.uri?eid=2-s2.0-85216938639&amp;doi=10.1002%2Frcs.70043&amp;partnerID=40&amp;md5=1306053363c81a204a57f2e9db64f30a" TargetMode="External"/><Relationship Id="rId124" Type="http://schemas.openxmlformats.org/officeDocument/2006/relationships/hyperlink" Target="https://www.scopus.com/inward/record.uri?eid=2-s2.0-85162885117&amp;doi=10.11834%2Fjig.211207&amp;partnerID=40&amp;md5=043d6c230cdd8bfed947080bd9374f24" TargetMode="External"/><Relationship Id="rId123" Type="http://schemas.openxmlformats.org/officeDocument/2006/relationships/hyperlink" Target="https://www.scopus.com/inward/record.uri?eid=2-s2.0-85164922761&amp;partnerID=40&amp;md5=d880d5fc9abc57f7b03363fc1dc6a912" TargetMode="External"/><Relationship Id="rId122" Type="http://schemas.openxmlformats.org/officeDocument/2006/relationships/hyperlink" Target="https://www.scopus.com/inward/record.uri?eid=2-s2.0-85168135808&amp;partnerID=40&amp;md5=4a0fd9326cdc3d557756a1486b1692eb" TargetMode="External"/><Relationship Id="rId95" Type="http://schemas.openxmlformats.org/officeDocument/2006/relationships/hyperlink" Target="https://www.scopus.com/inward/record.uri?eid=2-s2.0-85208977565&amp;partnerID=40&amp;md5=2ae3f4300e63387c2ef8a2a99545a23a" TargetMode="External"/><Relationship Id="rId94" Type="http://schemas.openxmlformats.org/officeDocument/2006/relationships/hyperlink" Target="https://www.scopus.com/inward/record.uri?eid=2-s2.0-85209649163&amp;doi=10.1109%2FICoCET63343.2024.10730618&amp;partnerID=40&amp;md5=166d6663e9c2e809288ecee6e68a55f5" TargetMode="External"/><Relationship Id="rId97" Type="http://schemas.openxmlformats.org/officeDocument/2006/relationships/hyperlink" Target="https://www.scopus.com/inward/record.uri?eid=2-s2.0-85206081792&amp;partnerID=40&amp;md5=63abc2e3f5b27bd81515551637c17ea4" TargetMode="External"/><Relationship Id="rId96" Type="http://schemas.openxmlformats.org/officeDocument/2006/relationships/hyperlink" Target="https://www.scopus.com/inward/record.uri?eid=2-s2.0-85206393432&amp;partnerID=40&amp;md5=d1ae3838e15f103670f22c0c42a1d549" TargetMode="External"/><Relationship Id="rId11" Type="http://schemas.openxmlformats.org/officeDocument/2006/relationships/hyperlink" Target="https://www.scopus.com/inward/record.uri?eid=2-s2.0-105011980779&amp;doi=10.1007%2Fs44163-025-00426-2&amp;partnerID=40&amp;md5=5f52582615f6c57adb38dd8ee9ff5312" TargetMode="External"/><Relationship Id="rId99" Type="http://schemas.openxmlformats.org/officeDocument/2006/relationships/hyperlink" Target="https://www.scopus.com/inward/record.uri?eid=2-s2.0-85202507213&amp;partnerID=40&amp;md5=f8bddf1a083b2b2afbb3e32fb37a4b48" TargetMode="External"/><Relationship Id="rId10" Type="http://schemas.openxmlformats.org/officeDocument/2006/relationships/hyperlink" Target="https://www.scopus.com/inward/record.uri?eid=2-s2.0-105022110315&amp;doi=10.1007%2Fs10916-025-02298-6&amp;partnerID=40&amp;md5=fdf81b1ce7c9bd3dae37491ee0fe3396" TargetMode="External"/><Relationship Id="rId98" Type="http://schemas.openxmlformats.org/officeDocument/2006/relationships/hyperlink" Target="https://www.scopus.com/inward/record.uri?eid=2-s2.0-85202775536&amp;partnerID=40&amp;md5=8da973598f682212c8284d8514d2c3c2" TargetMode="External"/><Relationship Id="rId13" Type="http://schemas.openxmlformats.org/officeDocument/2006/relationships/hyperlink" Target="https://www.scopus.com/inward/record.uri?eid=2-s2.0-105019357660&amp;doi=10.22266%2Fijies2025.1130.51&amp;partnerID=40&amp;md5=3dae90700e7ba2b83aedcde89df638c7" TargetMode="External"/><Relationship Id="rId12" Type="http://schemas.openxmlformats.org/officeDocument/2006/relationships/hyperlink" Target="https://www.scopus.com/inward/record.uri?eid=2-s2.0-105005510803&amp;doi=10.1007%2Fs11220-025-00587-5&amp;partnerID=40&amp;md5=c193a65c15ade945295c767273cf8b6c" TargetMode="External"/><Relationship Id="rId91" Type="http://schemas.openxmlformats.org/officeDocument/2006/relationships/hyperlink" Target="https://www.scopus.com/inward/record.uri?eid=2-s2.0-85210976449&amp;doi=10.1109%2FACCESS.2024.3508780&amp;partnerID=40&amp;md5=89e2a949087bf423612dd6995ba31f92" TargetMode="External"/><Relationship Id="rId90" Type="http://schemas.openxmlformats.org/officeDocument/2006/relationships/hyperlink" Target="https://www.scopus.com/inward/record.uri?eid=2-s2.0-85210989418&amp;doi=10.1109%2FACCESS.2024.3506334&amp;partnerID=40&amp;md5=f07481c6be34536b577aac8c7ec8bb39" TargetMode="External"/><Relationship Id="rId93" Type="http://schemas.openxmlformats.org/officeDocument/2006/relationships/hyperlink" Target="https://www.scopus.com/inward/record.uri?eid=2-s2.0-85209652985&amp;doi=10.1109%2FACCESS.2024.3496117&amp;partnerID=40&amp;md5=a43c653493f65263f3c6a05d6fd82e76" TargetMode="External"/><Relationship Id="rId92" Type="http://schemas.openxmlformats.org/officeDocument/2006/relationships/hyperlink" Target="https://www.scopus.com/inward/record.uri?eid=2-s2.0-85209943697&amp;doi=10.1109%2FICOSEC61587.2024.10722394&amp;partnerID=40&amp;md5=26443f2258316dd51126958af9781df0" TargetMode="External"/><Relationship Id="rId118" Type="http://schemas.openxmlformats.org/officeDocument/2006/relationships/hyperlink" Target="https://www.scopus.com/inward/record.uri?eid=2-s2.0-85189939027&amp;doi=10.1109%2FAICS60730.2023.10470496&amp;partnerID=40&amp;md5=8d529085a39d70e254723aadb160592a" TargetMode="External"/><Relationship Id="rId117" Type="http://schemas.openxmlformats.org/officeDocument/2006/relationships/hyperlink" Target="https://www.scopus.com/inward/record.uri?eid=2-s2.0-85189982479&amp;partnerID=40&amp;md5=79f59d0abd7b45837c07bbc68f2ad606" TargetMode="External"/><Relationship Id="rId116" Type="http://schemas.openxmlformats.org/officeDocument/2006/relationships/hyperlink" Target="https://www.scopus.com/inward/record.uri?eid=2-s2.0-85190115921&amp;doi=10.1109%2FMoSICom59118.2023.10458800&amp;partnerID=40&amp;md5=fd257c5075ecd94fecf725ea2a1fdc8a" TargetMode="External"/><Relationship Id="rId115" Type="http://schemas.openxmlformats.org/officeDocument/2006/relationships/hyperlink" Target="https://www.scopus.com/inward/record.uri?eid=2-s2.0-85193588868&amp;doi=10.23967%2Fj.rimni.2023.08.002&amp;partnerID=40&amp;md5=693b397c8f41ed1e9bfec302313e3ed7" TargetMode="External"/><Relationship Id="rId119" Type="http://schemas.openxmlformats.org/officeDocument/2006/relationships/hyperlink" Target="https://www.scopus.com/inward/record.uri?eid=2-s2.0-85189925974&amp;doi=10.1109%2FMoSICom59118.2023.10458762&amp;partnerID=40&amp;md5=5b24cc23540d95cd95843549f780446f" TargetMode="External"/><Relationship Id="rId15" Type="http://schemas.openxmlformats.org/officeDocument/2006/relationships/hyperlink" Target="https://www.scopus.com/inward/record.uri?eid=2-s2.0-105018924761&amp;doi=10.18502%2Ffbt.v12i4.19818&amp;partnerID=40&amp;md5=d22c20f3da9023d65fb449cfadb8c57e" TargetMode="External"/><Relationship Id="rId110" Type="http://schemas.openxmlformats.org/officeDocument/2006/relationships/hyperlink" Target="https://www.scopus.com/inward/record.uri?eid=2-s2.0-85191413740&amp;doi=10.1145%2F3638782.3638836&amp;partnerID=40&amp;md5=b5f5b52c04d36fdf85f00ea1f966c253" TargetMode="External"/><Relationship Id="rId14" Type="http://schemas.openxmlformats.org/officeDocument/2006/relationships/hyperlink" Target="https://www.scopus.com/inward/record.uri?eid=2-s2.0-105016833147&amp;doi=10.1007%2Fs11760-025-04756-7&amp;partnerID=40&amp;md5=96abb2897be485d5ba9f9e44f80a0a2f" TargetMode="External"/><Relationship Id="rId17" Type="http://schemas.openxmlformats.org/officeDocument/2006/relationships/hyperlink" Target="https://www.scopus.com/inward/record.uri?eid=2-s2.0-105023568411&amp;doi=10.22266%2Fijies2025.0930.19&amp;partnerID=40&amp;md5=18a6d1fa25b6bcea3d40e4469c02b0db" TargetMode="External"/><Relationship Id="rId16" Type="http://schemas.openxmlformats.org/officeDocument/2006/relationships/hyperlink" Target="https://www.scopus.com/inward/record.uri?eid=2-s2.0-105020016478&amp;doi=10.3390%2Fjimaging11100358&amp;partnerID=40&amp;md5=7f946f46daea421a7cf698adf3a6c0eb" TargetMode="External"/><Relationship Id="rId19" Type="http://schemas.openxmlformats.org/officeDocument/2006/relationships/hyperlink" Target="https://www.scopus.com/inward/record.uri?eid=2-s2.0-105013145996&amp;doi=10.3390%2Fapp15158448&amp;partnerID=40&amp;md5=f0e89d193defc6aafe1d65b5f99dca98" TargetMode="External"/><Relationship Id="rId114" Type="http://schemas.openxmlformats.org/officeDocument/2006/relationships/hyperlink" Target="https://www.scopus.com/inward/record.uri?eid=2-s2.0-85132534568&amp;doi=10.1109%2FTCBB.2022.3174091&amp;partnerID=40&amp;md5=e4a812f8afb738e87a9fcc87c306ca63" TargetMode="External"/><Relationship Id="rId18" Type="http://schemas.openxmlformats.org/officeDocument/2006/relationships/hyperlink" Target="https://www.scopus.com/inward/record.uri?eid=2-s2.0-105016355222&amp;doi=10.1002%2Fima.70205&amp;partnerID=40&amp;md5=a0fd8fad7c8454d4332707dbcf052d09" TargetMode="External"/><Relationship Id="rId113" Type="http://schemas.openxmlformats.org/officeDocument/2006/relationships/hyperlink" Target="https://www.scopus.com/inward/record.uri?eid=2-s2.0-85168921202&amp;partnerID=40&amp;md5=b0f7b1d94443d41f6f82fbda63f1c53d" TargetMode="External"/><Relationship Id="rId112" Type="http://schemas.openxmlformats.org/officeDocument/2006/relationships/hyperlink" Target="https://www.scopus.com/inward/record.uri?eid=2-s2.0-85147451303&amp;doi=10.1016%2Fj.eswa.2023.119643&amp;partnerID=40&amp;md5=fc712e932022324e8e6138185f3fbe26" TargetMode="External"/><Relationship Id="rId111" Type="http://schemas.openxmlformats.org/officeDocument/2006/relationships/hyperlink" Target="https://www.scopus.com/inward/record.uri?eid=2-s2.0-85180677552&amp;doi=10.3390%2Felectronics12244923&amp;partnerID=40&amp;md5=10fad17f7a199a625cfd8ed269f9abc0" TargetMode="External"/><Relationship Id="rId84" Type="http://schemas.openxmlformats.org/officeDocument/2006/relationships/hyperlink" Target="https://www.scopus.com/inward/record.uri?eid=2-s2.0-85182354943&amp;doi=10.1016%2Fj.heliyon.2024.e24094&amp;partnerID=40&amp;md5=a21b820f8b6bb3eebcced38b881909e9" TargetMode="External"/><Relationship Id="rId83" Type="http://schemas.openxmlformats.org/officeDocument/2006/relationships/hyperlink" Target="https://www.scopus.com/inward/record.uri?eid=2-s2.0-85169909058&amp;doi=10.1007%2Fs11042-023-16625-x&amp;partnerID=40&amp;md5=76cfde977cc0971a33c85307882ff412" TargetMode="External"/><Relationship Id="rId86" Type="http://schemas.openxmlformats.org/officeDocument/2006/relationships/hyperlink" Target="https://www.scopus.com/inward/record.uri?eid=2-s2.0-85217407092&amp;doi=10.1109%2FCogMI62246.2024.00040&amp;partnerID=40&amp;md5=fce7c1565014bc8830fb73c89da45299" TargetMode="External"/><Relationship Id="rId85" Type="http://schemas.openxmlformats.org/officeDocument/2006/relationships/hyperlink" Target="https://www.scopus.com/inward/record.uri?eid=2-s2.0-85217440966&amp;doi=10.1109%2F3ICT64318.2024.10824574&amp;partnerID=40&amp;md5=8de2b5ca7cdcccf5e04ea0738c381256" TargetMode="External"/><Relationship Id="rId88" Type="http://schemas.openxmlformats.org/officeDocument/2006/relationships/hyperlink" Target="https://www.scopus.com/inward/record.uri?eid=2-s2.0-85216213302&amp;doi=10.1109%2FBioCAS61083.2024.10798396&amp;partnerID=40&amp;md5=6d39fdc7c5885d43c96b17842393756f" TargetMode="External"/><Relationship Id="rId150" Type="http://schemas.openxmlformats.org/officeDocument/2006/relationships/hyperlink" Target="https://www.scopus.com/inward/record.uri?eid=2-s2.0-85086567155&amp;doi=10.1177%2F0161734620928453&amp;partnerID=40&amp;md5=cf1013a4a61fe2c418e678c32e1a8ca7" TargetMode="External"/><Relationship Id="rId87" Type="http://schemas.openxmlformats.org/officeDocument/2006/relationships/hyperlink" Target="https://www.scopus.com/inward/record.uri?eid=2-s2.0-85217269728&amp;partnerID=40&amp;md5=5c201409a8a86a3e8db33485f392fafb" TargetMode="External"/><Relationship Id="rId89" Type="http://schemas.openxmlformats.org/officeDocument/2006/relationships/hyperlink" Target="https://www.scopus.com/inward/record.uri?eid=2-s2.0-85211798400&amp;partnerID=40&amp;md5=631aee0523b6cb2b440291c02fcce15b" TargetMode="External"/><Relationship Id="rId80" Type="http://schemas.openxmlformats.org/officeDocument/2006/relationships/hyperlink" Target="https://www.scopus.com/inward/record.uri?eid=2-s2.0-85188816627&amp;doi=10.1016%2Fj.cmpb.2024.108121&amp;partnerID=40&amp;md5=8ed2ec627b561421c7ccb03952f82208" TargetMode="External"/><Relationship Id="rId82" Type="http://schemas.openxmlformats.org/officeDocument/2006/relationships/hyperlink" Target="https://www.scopus.com/inward/record.uri?eid=2-s2.0-85180281854&amp;doi=10.1109%2FJERM.2023.3337660&amp;partnerID=40&amp;md5=2aa183a8fcfc96be6315b0821b83857c" TargetMode="External"/><Relationship Id="rId81" Type="http://schemas.openxmlformats.org/officeDocument/2006/relationships/hyperlink" Target="https://www.scopus.com/inward/record.uri?eid=2-s2.0-85188515279&amp;doi=10.1007%2Fs11082-024-06657-4&amp;partnerID=40&amp;md5=94125599b780210029ddace59492ce78" TargetMode="External"/><Relationship Id="rId1" Type="http://schemas.openxmlformats.org/officeDocument/2006/relationships/hyperlink" Target="https://www.scopus.com/inward/record.uri?eid=2-s2.0-105023961528&amp;doi=10.1016%2Fj.bspc.2025.109336&amp;partnerID=40&amp;md5=568ab874f496a95afcd8a872cefff7a9" TargetMode="External"/><Relationship Id="rId2" Type="http://schemas.openxmlformats.org/officeDocument/2006/relationships/hyperlink" Target="https://www.scopus.com/inward/record.uri?eid=2-s2.0-105018916964&amp;doi=10.1016%2Fj.bspc.2025.108957&amp;partnerID=40&amp;md5=020af2d2b9cb976f3867990e09069bbb" TargetMode="External"/><Relationship Id="rId3" Type="http://schemas.openxmlformats.org/officeDocument/2006/relationships/hyperlink" Target="https://www.scopus.com/inward/record.uri?eid=2-s2.0-105023191105&amp;doi=10.1007%2F978-981-95-4381-6_13&amp;partnerID=40&amp;md5=76635e30a7f17f88b4c584ff1c760a80" TargetMode="External"/><Relationship Id="rId149" Type="http://schemas.openxmlformats.org/officeDocument/2006/relationships/hyperlink" Target="https://www.scopus.com/inward/record.uri?eid=2-s2.0-85092131911&amp;doi=10.15866%2Firecap.v10i4.18560&amp;partnerID=40&amp;md5=8ce1c48bc14fe53278896f221f0c083c" TargetMode="External"/><Relationship Id="rId4" Type="http://schemas.openxmlformats.org/officeDocument/2006/relationships/hyperlink" Target="https://www.scopus.com/inward/record.uri?eid=2-s2.0-105022977980&amp;doi=10.1007%2F978-3-032-10990-3_3&amp;partnerID=40&amp;md5=2b9dfc389912c7473ad9b29e61ac4876" TargetMode="External"/><Relationship Id="rId148" Type="http://schemas.openxmlformats.org/officeDocument/2006/relationships/hyperlink" Target="https://www.scopus.com/inward/record.uri?eid=2-s2.0-85099272967&amp;doi=10.1109%2FIPTA50016.2020.9286653&amp;partnerID=40&amp;md5=2fbf0269703a803895ed30d3b9deaa9e" TargetMode="External"/><Relationship Id="rId9" Type="http://schemas.openxmlformats.org/officeDocument/2006/relationships/hyperlink" Target="https://www.scopus.com/inward/record.uri?eid=2-s2.0-105023189687&amp;doi=10.1016%2Fj.rineng.2025.107600&amp;partnerID=40&amp;md5=3d0571c7fd81596048b37b43fd42aeed" TargetMode="External"/><Relationship Id="rId143" Type="http://schemas.openxmlformats.org/officeDocument/2006/relationships/hyperlink" Target="https://www.scopus.com/inward/record.uri?eid=2-s2.0-85125349633&amp;doi=10.1109%2FICCIS54243.2021.9676187&amp;partnerID=40&amp;md5=1f418c7a52230bcb6b8e2c667c7f672a" TargetMode="External"/><Relationship Id="rId142" Type="http://schemas.openxmlformats.org/officeDocument/2006/relationships/hyperlink" Target="https://www.scopus.com/inward/record.uri?eid=2-s2.0-85126741088&amp;doi=10.1109%2FICECET52533.2021.9698733&amp;partnerID=40&amp;md5=187048564131139517e83cff935e163d" TargetMode="External"/><Relationship Id="rId141" Type="http://schemas.openxmlformats.org/officeDocument/2006/relationships/hyperlink" Target="https://www.scopus.com/inward/record.uri?eid=2-s2.0-85102409958&amp;doi=10.1088%2F1742-6596%2F1755%2F1%2F012026&amp;partnerID=40&amp;md5=3342ebdea94a79259464e7bf1b1f420c" TargetMode="External"/><Relationship Id="rId140" Type="http://schemas.openxmlformats.org/officeDocument/2006/relationships/hyperlink" Target="https://www.scopus.com/inward/record.uri?eid=2-s2.0-85124670761&amp;partnerID=40&amp;md5=74871ff483593045ff21f5c5f621c2bf" TargetMode="External"/><Relationship Id="rId5" Type="http://schemas.openxmlformats.org/officeDocument/2006/relationships/hyperlink" Target="https://www.scopus.com/inward/record.uri?eid=2-s2.0-105020807763&amp;partnerID=40&amp;md5=50c612cf335d392c43da9291577fa56a" TargetMode="External"/><Relationship Id="rId147" Type="http://schemas.openxmlformats.org/officeDocument/2006/relationships/hyperlink" Target="https://www.scopus.com/inward/record.uri?eid=2-s2.0-85100334328&amp;doi=10.1109%2FBIBM49941.2020.9313511&amp;partnerID=40&amp;md5=fb3d8f43c53000a15005cfd528649a9e" TargetMode="External"/><Relationship Id="rId6" Type="http://schemas.openxmlformats.org/officeDocument/2006/relationships/hyperlink" Target="https://www.scopus.com/inward/record.uri?eid=2-s2.0-105020704025&amp;partnerID=40&amp;md5=30fb2a9fd8aadeedf5c66068e4723937" TargetMode="External"/><Relationship Id="rId146" Type="http://schemas.openxmlformats.org/officeDocument/2006/relationships/hyperlink" Target="https://www.scopus.com/inward/record.uri?eid=2-s2.0-85092725831&amp;doi=10.1007%2F978-981-15-5566-4_40&amp;partnerID=40&amp;md5=6e196fdf9fa7acea758ac1273180ebe7" TargetMode="External"/><Relationship Id="rId7" Type="http://schemas.openxmlformats.org/officeDocument/2006/relationships/hyperlink" Target="https://www.scopus.com/inward/record.uri?eid=2-s2.0-105011360736&amp;partnerID=40&amp;md5=b28c76d835bc37d2e99fd95af00df13f" TargetMode="External"/><Relationship Id="rId145" Type="http://schemas.openxmlformats.org/officeDocument/2006/relationships/hyperlink" Target="https://www.scopus.com/inward/record.uri?eid=2-s2.0-85096498383&amp;partnerID=40&amp;md5=96864cec68a1d7daf114c68cb5099620" TargetMode="External"/><Relationship Id="rId8" Type="http://schemas.openxmlformats.org/officeDocument/2006/relationships/hyperlink" Target="https://www.scopus.com/inward/record.uri?eid=2-s2.0-105024146707&amp;doi=10.1002%2Fmp.70189&amp;partnerID=40&amp;md5=4fb3751cf966f59df683e576f98afe45" TargetMode="External"/><Relationship Id="rId144" Type="http://schemas.openxmlformats.org/officeDocument/2006/relationships/hyperlink" Target="https://www.scopus.com/inward/record.uri?eid=2-s2.0-85097683791&amp;partnerID=40&amp;md5=343726d9201692790d3e0204dad8e140" TargetMode="External"/><Relationship Id="rId73" Type="http://schemas.openxmlformats.org/officeDocument/2006/relationships/hyperlink" Target="https://www.scopus.com/inward/record.uri?eid=2-s2.0-85191815479&amp;doi=10.1016%2Fj.eswa.2024.124113&amp;partnerID=40&amp;md5=9183e2d869057da768091324b7932d88" TargetMode="External"/><Relationship Id="rId72" Type="http://schemas.openxmlformats.org/officeDocument/2006/relationships/hyperlink" Target="https://www.scopus.com/inward/record.uri?eid=2-s2.0-85205341198&amp;doi=10.1016%2Fj.heliyon.2024.e38410&amp;partnerID=40&amp;md5=4edc8cb7c9c4442322cf8493b0c31c0b" TargetMode="External"/><Relationship Id="rId75" Type="http://schemas.openxmlformats.org/officeDocument/2006/relationships/hyperlink" Target="https://www.scopus.com/inward/record.uri?eid=2-s2.0-85189017106&amp;doi=10.1016%2Fj.bspc.2024.106279&amp;partnerID=40&amp;md5=360a1c6c8c6f1498d762278d834c4bc2" TargetMode="External"/><Relationship Id="rId74" Type="http://schemas.openxmlformats.org/officeDocument/2006/relationships/hyperlink" Target="https://www.scopus.com/inward/record.uri?eid=2-s2.0-85197428747&amp;doi=10.1007%2Fs12539-024-00621-2&amp;partnerID=40&amp;md5=7c640ad93f559c11f522172e6ca7bd7d" TargetMode="External"/><Relationship Id="rId77" Type="http://schemas.openxmlformats.org/officeDocument/2006/relationships/hyperlink" Target="https://www.scopus.com/inward/record.uri?eid=2-s2.0-85190974543&amp;doi=10.11591%2Fijeecs.v34.i3.pp1739-1752&amp;partnerID=40&amp;md5=4dbc46a4e73a37fd3d95e378b2a66dbb" TargetMode="External"/><Relationship Id="rId76" Type="http://schemas.openxmlformats.org/officeDocument/2006/relationships/hyperlink" Target="https://www.scopus.com/inward/record.uri?eid=2-s2.0-105007789133&amp;doi=10.1007%2Fs10278-024-01056-3&amp;partnerID=40&amp;md5=e410330f12c93ac71a07908580e96e1e" TargetMode="External"/><Relationship Id="rId79" Type="http://schemas.openxmlformats.org/officeDocument/2006/relationships/hyperlink" Target="https://www.scopus.com/inward/record.uri?eid=2-s2.0-85189008135&amp;doi=10.1016%2Fj.compbiomed.2024.108303&amp;partnerID=40&amp;md5=e9e7bbd56b1aa8cc55d278cc8213bfec" TargetMode="External"/><Relationship Id="rId78" Type="http://schemas.openxmlformats.org/officeDocument/2006/relationships/hyperlink" Target="https://www.scopus.com/inward/record.uri?eid=2-s2.0-85192759561&amp;doi=10.1016%2Fj.heliyon.2024.e30889&amp;partnerID=40&amp;md5=e088df5571ea4fe1644aa737d77c9a2c" TargetMode="External"/><Relationship Id="rId71" Type="http://schemas.openxmlformats.org/officeDocument/2006/relationships/hyperlink" Target="https://www.scopus.com/inward/record.uri?eid=2-s2.0-85197368415&amp;doi=10.1007%2Fs11042-024-19667-x&amp;partnerID=40&amp;md5=07c57692e436c8a336eca0f5a784b8e8" TargetMode="External"/><Relationship Id="rId70" Type="http://schemas.openxmlformats.org/officeDocument/2006/relationships/hyperlink" Target="https://www.scopus.com/inward/record.uri?eid=2-s2.0-85200950698&amp;doi=10.1007%2Fs00521-024-10298-9&amp;partnerID=40&amp;md5=3f912bba6607085a2482b4147b7e4d35" TargetMode="External"/><Relationship Id="rId139" Type="http://schemas.openxmlformats.org/officeDocument/2006/relationships/hyperlink" Target="https://www.scopus.com/inward/record.uri?eid=2-s2.0-85130057030&amp;doi=10.1155%2F2022%2F3714422&amp;partnerID=40&amp;md5=b7f95ce78e0d5074d983f835ee26d1e5" TargetMode="External"/><Relationship Id="rId138" Type="http://schemas.openxmlformats.org/officeDocument/2006/relationships/hyperlink" Target="https://www.scopus.com/inward/record.uri?eid=2-s2.0-85133002409&amp;partnerID=40&amp;md5=4cd265e78079bd54e50202f6c6364fb5" TargetMode="External"/><Relationship Id="rId137" Type="http://schemas.openxmlformats.org/officeDocument/2006/relationships/hyperlink" Target="https://www.scopus.com/inward/record.uri?eid=2-s2.0-85135043192&amp;doi=10.1007%2F978-3-031-09342-5_27&amp;partnerID=40&amp;md5=6ce2320bd96903fbe3a25baf05111e99" TargetMode="External"/><Relationship Id="rId132" Type="http://schemas.openxmlformats.org/officeDocument/2006/relationships/hyperlink" Target="https://www.scopus.com/inward/record.uri?eid=2-s2.0-85129147479&amp;doi=10.1007%2Fs12539-022-00515-1&amp;partnerID=40&amp;md5=d8374dd58ba08c73282dcd71b3e3f27c" TargetMode="External"/><Relationship Id="rId131" Type="http://schemas.openxmlformats.org/officeDocument/2006/relationships/hyperlink" Target="https://www.scopus.com/inward/record.uri?eid=2-s2.0-85132930127&amp;doi=10.3390%2Fbioengineering9060261&amp;partnerID=40&amp;md5=2061b61f9c49957ac6fa8f9427c5bb70" TargetMode="External"/><Relationship Id="rId130" Type="http://schemas.openxmlformats.org/officeDocument/2006/relationships/hyperlink" Target="https://www.scopus.com/inward/record.uri?eid=2-s2.0-85138460701&amp;doi=10.1016%2Fj.bios.2022.114635&amp;partnerID=40&amp;md5=029e81da191e90ca5bd7e55c7a0c97ef" TargetMode="External"/><Relationship Id="rId136" Type="http://schemas.openxmlformats.org/officeDocument/2006/relationships/hyperlink" Target="https://www.scopus.com/inward/record.uri?eid=2-s2.0-85138239272&amp;doi=10.1615%2FCritRevBiomedEng.2022043417&amp;partnerID=40&amp;md5=85ac07e56c86bb4fcdaee9cc247787e9" TargetMode="External"/><Relationship Id="rId135" Type="http://schemas.openxmlformats.org/officeDocument/2006/relationships/hyperlink" Target="https://www.scopus.com/inward/record.uri?eid=2-s2.0-85139222990&amp;doi=10.13052%2Fjmm1550-4646.18619&amp;partnerID=40&amp;md5=da2a1aa1668572887810f27b242c2214" TargetMode="External"/><Relationship Id="rId134" Type="http://schemas.openxmlformats.org/officeDocument/2006/relationships/hyperlink" Target="https://www.scopus.com/inward/record.uri?eid=2-s2.0-85143079638&amp;partnerID=40&amp;md5=f6d79e7d735d735686810e35e4b2d6ff" TargetMode="External"/><Relationship Id="rId133" Type="http://schemas.openxmlformats.org/officeDocument/2006/relationships/hyperlink" Target="https://www.scopus.com/inward/record.uri?eid=2-s2.0-85148874918&amp;partnerID=40&amp;md5=1319f99a2518dcd8b271472f212eae60" TargetMode="External"/><Relationship Id="rId62" Type="http://schemas.openxmlformats.org/officeDocument/2006/relationships/hyperlink" Target="https://www.scopus.com/inward/record.uri?eid=2-s2.0-105007549200&amp;doi=10.1109%2FISQED65160.2025.11014334&amp;partnerID=40&amp;md5=107b8adae4032c47982cdde94f9aaebb" TargetMode="External"/><Relationship Id="rId61" Type="http://schemas.openxmlformats.org/officeDocument/2006/relationships/hyperlink" Target="https://www.scopus.com/inward/record.uri?eid=2-s2.0-105010211419&amp;doi=10.1007%2F978-981-96-6585-3_23&amp;partnerID=40&amp;md5=558a50aa1e9a92bc0a6afdf4fe115545" TargetMode="External"/><Relationship Id="rId64" Type="http://schemas.openxmlformats.org/officeDocument/2006/relationships/hyperlink" Target="https://www.scopus.com/inward/record.uri?eid=2-s2.0-105004054688&amp;doi=10.1109%2FACCESS.2025.3564940&amp;partnerID=40&amp;md5=3b8e5df01c4ea8781fb3d21c126d8551" TargetMode="External"/><Relationship Id="rId63" Type="http://schemas.openxmlformats.org/officeDocument/2006/relationships/hyperlink" Target="https://www.scopus.com/inward/record.uri?eid=2-s2.0-105006687915&amp;doi=10.3389%2Ffonc.2025.1563959&amp;partnerID=40&amp;md5=faab156d9a85e140c94cb47c6fa02971" TargetMode="External"/><Relationship Id="rId66" Type="http://schemas.openxmlformats.org/officeDocument/2006/relationships/hyperlink" Target="https://www.scopus.com/inward/record.uri?eid=2-s2.0-105002882511&amp;doi=10.1201%2F9781003481959-5&amp;partnerID=40&amp;md5=bbdd253eaa305ad66998c931dede8df3" TargetMode="External"/><Relationship Id="rId65" Type="http://schemas.openxmlformats.org/officeDocument/2006/relationships/hyperlink" Target="https://www.scopus.com/inward/record.uri?eid=2-s2.0-105002973748&amp;doi=10.1177%2F20552076251336286&amp;partnerID=40&amp;md5=ace3391d039f324f6e94b157d7c13bce" TargetMode="External"/><Relationship Id="rId68" Type="http://schemas.openxmlformats.org/officeDocument/2006/relationships/hyperlink" Target="https://www.scopus.com/inward/record.uri?eid=2-s2.0-105002579088&amp;doi=10.1109%2FACCESS.2025.3556517&amp;partnerID=40&amp;md5=af2b9a52232016fa55ca4b11e136a7d9" TargetMode="External"/><Relationship Id="rId67" Type="http://schemas.openxmlformats.org/officeDocument/2006/relationships/hyperlink" Target="https://www.scopus.com/inward/record.uri?eid=2-s2.0-105002727288&amp;partnerID=40&amp;md5=566256cd2939b0a177cc21fe40138721" TargetMode="External"/><Relationship Id="rId60" Type="http://schemas.openxmlformats.org/officeDocument/2006/relationships/hyperlink" Target="https://www.scopus.com/inward/record.uri?eid=2-s2.0-105011275624&amp;doi=10.1109%2FCAI64502.2025.00089&amp;partnerID=40&amp;md5=6a408a12e8ceaec0d3099306e4c7680e" TargetMode="External"/><Relationship Id="rId69" Type="http://schemas.openxmlformats.org/officeDocument/2006/relationships/hyperlink" Target="https://www.scopus.com/inward/record.uri?eid=2-s2.0-105002576396&amp;partnerID=40&amp;md5=9618c057487310401bb53d4a16c8c495" TargetMode="External"/><Relationship Id="rId163" Type="http://schemas.openxmlformats.org/officeDocument/2006/relationships/drawing" Target="../drawings/drawing3.xml"/><Relationship Id="rId162" Type="http://schemas.openxmlformats.org/officeDocument/2006/relationships/hyperlink" Target="https://www.scopus.com/inward/record.uri?eid=2-s2.0-84884785762&amp;partnerID=40&amp;md5=31e4db38afaa379c6aa0f56556b495bd" TargetMode="External"/><Relationship Id="rId51" Type="http://schemas.openxmlformats.org/officeDocument/2006/relationships/hyperlink" Target="https://www.scopus.com/inward/record.uri?eid=2-s2.0-105021507239&amp;doi=10.1007%2Fs40998-025-00916-0&amp;partnerID=40&amp;md5=73415bb81fdba9933807077d4b457ba8" TargetMode="External"/><Relationship Id="rId50" Type="http://schemas.openxmlformats.org/officeDocument/2006/relationships/hyperlink" Target="https://www.scopus.com/inward/record.uri?eid=2-s2.0-105021804470&amp;doi=10.1109%2FIUS62464.2025.11201536&amp;partnerID=40&amp;md5=0dc4e56789c55a9d7712fcec4c004346" TargetMode="External"/><Relationship Id="rId53" Type="http://schemas.openxmlformats.org/officeDocument/2006/relationships/hyperlink" Target="https://www.scopus.com/inward/record.uri?eid=2-s2.0-105019357075&amp;doi=10.1007%2Fs44174-025-00547-3&amp;partnerID=40&amp;md5=9620ba1aba501c20b4139a0b589f314d" TargetMode="External"/><Relationship Id="rId52" Type="http://schemas.openxmlformats.org/officeDocument/2006/relationships/hyperlink" Target="https://www.scopus.com/inward/record.uri?eid=2-s2.0-105021269521&amp;doi=10.1109%2FTCE.2025.3630000&amp;partnerID=40&amp;md5=4b94fcfe2989fcf1a8d3c79788190624" TargetMode="External"/><Relationship Id="rId55" Type="http://schemas.openxmlformats.org/officeDocument/2006/relationships/hyperlink" Target="https://www.scopus.com/inward/record.uri?eid=2-s2.0-105016905581&amp;doi=10.1109%2FISITIA66279.2025.11137567&amp;partnerID=40&amp;md5=59fbbeb6d47e12f750d8d28710d6e111" TargetMode="External"/><Relationship Id="rId161" Type="http://schemas.openxmlformats.org/officeDocument/2006/relationships/hyperlink" Target="https://www.scopus.com/inward/record.uri?eid=2-s2.0-84964444601&amp;partnerID=40&amp;md5=2ee5946f8c55e6a977c2c788fc1c7690" TargetMode="External"/><Relationship Id="rId54" Type="http://schemas.openxmlformats.org/officeDocument/2006/relationships/hyperlink" Target="https://www.scopus.com/inward/record.uri?eid=2-s2.0-105017806547&amp;doi=10.1109%2FICTAS64866.2025.11155355&amp;partnerID=40&amp;md5=0f9797ec4f4c420d4d8fd3ac7f046cd9" TargetMode="External"/><Relationship Id="rId160" Type="http://schemas.openxmlformats.org/officeDocument/2006/relationships/hyperlink" Target="https://www.scopus.com/inward/record.uri?eid=2-s2.0-85013215035&amp;doi=10.1016%2Fj.medengphy.2017.01.021&amp;partnerID=40&amp;md5=4c642cbfe3caf47a0794a3ac8dd7bc70" TargetMode="External"/><Relationship Id="rId57" Type="http://schemas.openxmlformats.org/officeDocument/2006/relationships/hyperlink" Target="https://www.scopus.com/inward/record.uri?eid=2-s2.0-105013755493&amp;doi=10.1109%2FACCESS.2025.3599358&amp;partnerID=40&amp;md5=13d30e58f1d3749764d115e9db52da43" TargetMode="External"/><Relationship Id="rId56" Type="http://schemas.openxmlformats.org/officeDocument/2006/relationships/hyperlink" Target="https://www.scopus.com/inward/record.uri?eid=2-s2.0-105014021476&amp;doi=10.22266%2Fijies2025.0831.33&amp;partnerID=40&amp;md5=15717287e09ebc4cf88d0aeaaaa38b29" TargetMode="External"/><Relationship Id="rId159" Type="http://schemas.openxmlformats.org/officeDocument/2006/relationships/hyperlink" Target="https://www.scopus.com/inward/record.uri?eid=2-s2.0-85052023801&amp;doi=10.5220%2F0006550700690077&amp;partnerID=40&amp;md5=a8da73e482f17fc0f87fdf61f24d2a82" TargetMode="External"/><Relationship Id="rId59" Type="http://schemas.openxmlformats.org/officeDocument/2006/relationships/hyperlink" Target="https://www.scopus.com/inward/record.uri?eid=2-s2.0-105012020242&amp;doi=10.1049%2Ficp.2025.1298&amp;partnerID=40&amp;md5=87fd63f5b6c90916fdf1a738380c3b06" TargetMode="External"/><Relationship Id="rId154" Type="http://schemas.openxmlformats.org/officeDocument/2006/relationships/hyperlink" Target="https://www.scopus.com/inward/record.uri?eid=2-s2.0-85071679965&amp;doi=10.35940%2Fijitee.F1274.0486S419&amp;partnerID=40&amp;md5=71389f2e941c91469619606bd365f7d4" TargetMode="External"/><Relationship Id="rId58" Type="http://schemas.openxmlformats.org/officeDocument/2006/relationships/hyperlink" Target="https://www.scopus.com/inward/record.uri?eid=2-s2.0-105012438783&amp;doi=10.1109%2FACCESS.2025.3594827&amp;partnerID=40&amp;md5=3509bc47ddf96ea815bb6c1bc73668b4" TargetMode="External"/><Relationship Id="rId153" Type="http://schemas.openxmlformats.org/officeDocument/2006/relationships/hyperlink" Target="https://www.scopus.com/inward/record.uri?eid=2-s2.0-85074788048&amp;doi=10.1002%2Fjso.25747&amp;partnerID=40&amp;md5=70f25536527d62085c4b183b2e096bd8" TargetMode="External"/><Relationship Id="rId152" Type="http://schemas.openxmlformats.org/officeDocument/2006/relationships/hyperlink" Target="https://www.scopus.com/inward/record.uri?eid=2-s2.0-85087800211&amp;doi=10.1109%2FACCESS.2020.3004056&amp;partnerID=40&amp;md5=6b6ab728d09e8e7a1c908b4e78500b47" TargetMode="External"/><Relationship Id="rId151" Type="http://schemas.openxmlformats.org/officeDocument/2006/relationships/hyperlink" Target="https://www.scopus.com/inward/record.uri?eid=2-s2.0-85096352764&amp;doi=10.1117%2F12.2558613&amp;partnerID=40&amp;md5=35bb3dd9c3a25059486a1936eef82f45" TargetMode="External"/><Relationship Id="rId158" Type="http://schemas.openxmlformats.org/officeDocument/2006/relationships/hyperlink" Target="https://www.scopus.com/inward/record.uri?eid=2-s2.0-85061546246&amp;doi=10.1364%2FBOE.10.000399&amp;partnerID=40&amp;md5=96f5a52dac94266494bd0706762bb7a5" TargetMode="External"/><Relationship Id="rId157" Type="http://schemas.openxmlformats.org/officeDocument/2006/relationships/hyperlink" Target="https://www.scopus.com/inward/record.uri?eid=2-s2.0-85065909723&amp;partnerID=40&amp;md5=1d86e21bff3a5377d0081b262702121e" TargetMode="External"/><Relationship Id="rId156" Type="http://schemas.openxmlformats.org/officeDocument/2006/relationships/hyperlink" Target="https://www.scopus.com/inward/record.uri?eid=2-s2.0-85072901730&amp;doi=10.1007%2F978-3-030-30645-8_64&amp;partnerID=40&amp;md5=9f19b44d7075729e35846cda32bbe51b" TargetMode="External"/><Relationship Id="rId155" Type="http://schemas.openxmlformats.org/officeDocument/2006/relationships/hyperlink" Target="https://www.scopus.com/inward/record.uri?eid=2-s2.0-85077964825&amp;doi=10.1109%2FACCESS.2019.2960722&amp;partnerID=40&amp;md5=67da4ac6fe40be475c395aa316fdb2fe"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scopus.com/inward/record.uri?eid=2-s2.0-85130057030&amp;doi=10.1155%2f2022%2f3714422&amp;partnerID=40&amp;md5=ac86a5d4fc6f0c1adb8bd96b5fc3d7ba" TargetMode="External"/><Relationship Id="rId42" Type="http://schemas.openxmlformats.org/officeDocument/2006/relationships/hyperlink" Target="https://www.scopus.com/inward/record.uri?eid=2-s2.0-85139222990&amp;doi=10.13052%2fjmm1550-4646.18619&amp;partnerID=40&amp;md5=da05f5794087ee5c0b193374a9f5fe93" TargetMode="External"/><Relationship Id="rId41" Type="http://schemas.openxmlformats.org/officeDocument/2006/relationships/hyperlink" Target="https://www.scopus.com/inward/record.uri?eid=2-s2.0-85138239272&amp;doi=10.1615%2fCritRevBiomedEng.2022043417&amp;partnerID=40&amp;md5=6415332e54bf542140decc0bdbda2d9f" TargetMode="External"/><Relationship Id="rId44" Type="http://schemas.openxmlformats.org/officeDocument/2006/relationships/hyperlink" Target="https://www.scopus.com/inward/record.uri?eid=2-s2.0-85189008135&amp;doi=10.1016%2fj.compbiomed.2024.108303&amp;partnerID=40&amp;md5=b8baac5b6a8084a7a3d5290eb027a4dc" TargetMode="External"/><Relationship Id="rId43" Type="http://schemas.openxmlformats.org/officeDocument/2006/relationships/hyperlink" Target="https://www.scopus.com/inward/record.uri?eid=2-s2.0-85135043192&amp;doi=10.1007%2f978-3-031-09342-5_27&amp;partnerID=40&amp;md5=f90fb385cba01cf5ee0b56f01d38cc97" TargetMode="External"/><Relationship Id="rId46" Type="http://schemas.openxmlformats.org/officeDocument/2006/relationships/hyperlink" Target="https://www.scopus.com/inward/record.uri?eid=2-s2.0-85072901730&amp;doi=10.1007%2f978-3-030-30645-8_64&amp;partnerID=40&amp;md5=1104b2068bf9fcf82ae03b9a19c3a518" TargetMode="External"/><Relationship Id="rId45" Type="http://schemas.openxmlformats.org/officeDocument/2006/relationships/hyperlink" Target="https://www.scopus.com/inward/record.uri?eid=2-s2.0-85125349633&amp;doi=10.1109%2fICCIS54243.2021.9676187&amp;partnerID=40&amp;md5=699778717e6dc46ebf62a97a3ed55f5c" TargetMode="External"/><Relationship Id="rId48" Type="http://schemas.openxmlformats.org/officeDocument/2006/relationships/hyperlink" Target="https://www.scopus.com/inward/record.uri?eid=2-s2.0-85096498383&amp;partnerID=40&amp;md5=96864cec68a1d7daf114c68cb5099620" TargetMode="External"/><Relationship Id="rId47" Type="http://schemas.openxmlformats.org/officeDocument/2006/relationships/hyperlink" Target="https://www.scopus.com/inward/record.uri?eid=2-s2.0-85097683791&amp;partnerID=40&amp;md5=343726d9201692790d3e0204dad8e140" TargetMode="External"/><Relationship Id="rId49" Type="http://schemas.openxmlformats.org/officeDocument/2006/relationships/hyperlink" Target="https://www.scopus.com/inward/record.uri?eid=2-s2.0-85189925974&amp;doi=10.1109%2fMoSICom59118.2023.10458762&amp;partnerID=40&amp;md5=979ffe8fc4433c67cddbf6251401f721" TargetMode="External"/><Relationship Id="rId31" Type="http://schemas.openxmlformats.org/officeDocument/2006/relationships/hyperlink" Target="https://www.scopus.com/inward/record.uri?eid=2-s2.0-85099272967&amp;doi=10.1109%2fIPTA50016.2020.9286653&amp;partnerID=40&amp;md5=0e5c9704bfaae126c60106149b94f863" TargetMode="External"/><Relationship Id="rId30" Type="http://schemas.openxmlformats.org/officeDocument/2006/relationships/hyperlink" Target="https://www.scopus.com/inward/record.uri?eid=2-s2.0-85102409958&amp;doi=10.1088%2f1742-6596%2f1755%2f1%2f012026&amp;partnerID=40&amp;md5=b8964f421e7f2dd76143949ad8c5cf1b" TargetMode="External"/><Relationship Id="rId33" Type="http://schemas.openxmlformats.org/officeDocument/2006/relationships/hyperlink" Target="https://www.scopus.com/inward/record.uri?eid=2-s2.0-85096352764&amp;doi=10.1117%2f12.2558613&amp;partnerID=40&amp;md5=e3195d06d9796930f404dc650b2565d0" TargetMode="External"/><Relationship Id="rId32" Type="http://schemas.openxmlformats.org/officeDocument/2006/relationships/hyperlink" Target="https://www.scopus.com/inward/record.uri?eid=2-s2.0-85065909723&amp;partnerID=40&amp;md5=1d86e21bff3a5377d0081b262702121e" TargetMode="External"/><Relationship Id="rId35" Type="http://schemas.openxmlformats.org/officeDocument/2006/relationships/hyperlink" Target="https://www.scopus.com/inward/record.uri?eid=2-s2.0-85188816627&amp;doi=10.1016%2fj.cmpb.2024.108121&amp;partnerID=40&amp;md5=017446da5e7cbcca296edab24bf31ba0" TargetMode="External"/><Relationship Id="rId34" Type="http://schemas.openxmlformats.org/officeDocument/2006/relationships/hyperlink" Target="https://www.scopus.com/inward/record.uri?eid=2-s2.0-85189982479&amp;partnerID=40&amp;md5=79f59d0abd7b45837c07bbc68f2ad606" TargetMode="External"/><Relationship Id="rId37" Type="http://schemas.openxmlformats.org/officeDocument/2006/relationships/hyperlink" Target="https://www.scopus.com/inward/record.uri?eid=2-s2.0-85087800211&amp;doi=10.1109%2fACCESS.2020.3004056&amp;partnerID=40&amp;md5=8b8c0baacd2c3f43dab0543284b5124e" TargetMode="External"/><Relationship Id="rId36" Type="http://schemas.openxmlformats.org/officeDocument/2006/relationships/hyperlink" Target="https://www.scopus.com/inward/record.uri?eid=2-s2.0-85100334328&amp;doi=10.1109%2fBIBM49941.2020.9313511&amp;partnerID=40&amp;md5=5fdcf38399d717deb67a967b5e283de3" TargetMode="External"/><Relationship Id="rId39" Type="http://schemas.openxmlformats.org/officeDocument/2006/relationships/hyperlink" Target="https://www.scopus.com/inward/record.uri?eid=2-s2.0-85190115921&amp;doi=10.1109%2fMoSICom59118.2023.10458800&amp;partnerID=40&amp;md5=d1904627399374ef5395e4a8bf891c2e" TargetMode="External"/><Relationship Id="rId38" Type="http://schemas.openxmlformats.org/officeDocument/2006/relationships/hyperlink" Target="https://www.scopus.com/inward/record.uri?eid=2-s2.0-85124670761&amp;partnerID=40&amp;md5=74871ff483593045ff21f5c5f621c2bf" TargetMode="External"/><Relationship Id="rId20" Type="http://schemas.openxmlformats.org/officeDocument/2006/relationships/hyperlink" Target="https://www.scopus.com/inward/record.uri?eid=2-s2.0-85052023801&amp;doi=10.5220%2f0006550700690077&amp;partnerID=40&amp;md5=dabfafba6b3d507fb082faf64aac9ce0" TargetMode="External"/><Relationship Id="rId22" Type="http://schemas.openxmlformats.org/officeDocument/2006/relationships/hyperlink" Target="https://www.scopus.com/inward/record.uri?eid=2-s2.0-85189939027&amp;doi=10.1109%2fAICS60730.2023.10470496&amp;partnerID=40&amp;md5=7c7256cc5bab6cec31169fed656e5fe4" TargetMode="External"/><Relationship Id="rId21" Type="http://schemas.openxmlformats.org/officeDocument/2006/relationships/hyperlink" Target="https://www.scopus.com/inward/record.uri?eid=2-s2.0-85143079638&amp;partnerID=40&amp;md5=f6d79e7d735d735686810e35e4b2d6ff" TargetMode="External"/><Relationship Id="rId24" Type="http://schemas.openxmlformats.org/officeDocument/2006/relationships/hyperlink" Target="https://www.scopus.com/inward/record.uri?eid=2-s2.0-85146743965&amp;doi=10.3390%2fdiagnostics13020299&amp;partnerID=40&amp;md5=8f922acf5f337e1d140794f72658cc45" TargetMode="External"/><Relationship Id="rId23" Type="http://schemas.openxmlformats.org/officeDocument/2006/relationships/hyperlink" Target="https://www.scopus.com/inward/record.uri?eid=2-s2.0-85176360213&amp;doi=10.1109%2fACCESS.2023.3326478&amp;partnerID=40&amp;md5=3bc5d4f4ae2ea41a80abc82076075cac" TargetMode="External"/><Relationship Id="rId26" Type="http://schemas.openxmlformats.org/officeDocument/2006/relationships/hyperlink" Target="https://www.scopus.com/inward/record.uri?eid=2-s2.0-85086567155&amp;doi=10.1177%2f0161734620928453&amp;partnerID=40&amp;md5=f2fe0aca530d33319e4376e4a088753c" TargetMode="External"/><Relationship Id="rId25" Type="http://schemas.openxmlformats.org/officeDocument/2006/relationships/hyperlink" Target="https://www.scopus.com/inward/record.uri?eid=2-s2.0-85077964825&amp;doi=10.1109%2fACCESS.2019.2960722&amp;partnerID=40&amp;md5=48bf5b3ff49f972a8893f8c9bdd8e035" TargetMode="External"/><Relationship Id="rId28" Type="http://schemas.openxmlformats.org/officeDocument/2006/relationships/hyperlink" Target="https://www.scopus.com/inward/record.uri?eid=2-s2.0-85192759561&amp;doi=10.1016%2fj.heliyon.2024.e30889&amp;partnerID=40&amp;md5=2aebba74950a9ad11fdbd8588e8f8447" TargetMode="External"/><Relationship Id="rId27" Type="http://schemas.openxmlformats.org/officeDocument/2006/relationships/hyperlink" Target="https://www.scopus.com/inward/record.uri?eid=2-s2.0-85179734403&amp;doi=10.1080%2f10255842.2023.2292009&amp;partnerID=40&amp;md5=19223f3778b4309f67aa7407b021a466" TargetMode="External"/><Relationship Id="rId29" Type="http://schemas.openxmlformats.org/officeDocument/2006/relationships/hyperlink" Target="https://www.scopus.com/inward/record.uri?eid=2-s2.0-85132534568&amp;doi=10.1109%2fTCBB.2022.3174091&amp;partnerID=40&amp;md5=efe6c44a590281dca5a433aca8c3cbb9" TargetMode="External"/><Relationship Id="rId11" Type="http://schemas.openxmlformats.org/officeDocument/2006/relationships/hyperlink" Target="https://www.scopus.com/inward/record.uri?eid=2-s2.0-85132930127&amp;doi=10.3390%2fbioengineering9060261&amp;partnerID=40&amp;md5=7dd46f2cb9d6782eff208e64727767b4" TargetMode="External"/><Relationship Id="rId10" Type="http://schemas.openxmlformats.org/officeDocument/2006/relationships/hyperlink" Target="https://www.scopus.com/inward/record.uri?eid=2-s2.0-85168921202&amp;partnerID=40&amp;md5=b0f7b1d94443d41f6f82fbda63f1c53d" TargetMode="External"/><Relationship Id="rId13" Type="http://schemas.openxmlformats.org/officeDocument/2006/relationships/hyperlink" Target="https://www.scopus.com/inward/record.uri?eid=2-s2.0-85092725831&amp;doi=10.1007%2f978-981-15-5566-4_40&amp;partnerID=40&amp;md5=b3ccc7336488812edaeafcdcd3e7fa46" TargetMode="External"/><Relationship Id="rId12" Type="http://schemas.openxmlformats.org/officeDocument/2006/relationships/hyperlink" Target="https://www.scopus.com/inward/record.uri?eid=2-s2.0-85187778482&amp;doi=10.1109%2fICDSAAI59313.2023.10452524&amp;partnerID=40&amp;md5=15e070251fbee1f33a5518bfa483ca5a" TargetMode="External"/><Relationship Id="rId15" Type="http://schemas.openxmlformats.org/officeDocument/2006/relationships/hyperlink" Target="https://www.scopus.com/inward/record.uri?eid=2-s2.0-85152938328&amp;doi=10.3934%2fmbe.2023457&amp;partnerID=40&amp;md5=d0801ae75f77a92c0e15c119f9745a3d" TargetMode="External"/><Relationship Id="rId14" Type="http://schemas.openxmlformats.org/officeDocument/2006/relationships/hyperlink" Target="https://www.scopus.com/inward/record.uri?eid=2-s2.0-85133002409&amp;partnerID=40&amp;md5=4cd265e78079bd54e50202f6c6364fb5" TargetMode="External"/><Relationship Id="rId17" Type="http://schemas.openxmlformats.org/officeDocument/2006/relationships/hyperlink" Target="https://www.scopus.com/inward/record.uri?eid=2-s2.0-85191413740&amp;doi=10.1145%2f3638782.3638836&amp;partnerID=40&amp;md5=c4c4f2d6c220dab6f5750d9ba5698d8c" TargetMode="External"/><Relationship Id="rId16" Type="http://schemas.openxmlformats.org/officeDocument/2006/relationships/hyperlink" Target="https://www.scopus.com/inward/record.uri?eid=2-s2.0-85168135808&amp;partnerID=40&amp;md5=4a0fd9326cdc3d557756a1486b1692eb" TargetMode="External"/><Relationship Id="rId19" Type="http://schemas.openxmlformats.org/officeDocument/2006/relationships/hyperlink" Target="https://www.scopus.com/inward/record.uri?eid=2-s2.0-85148874918&amp;partnerID=40&amp;md5=1319f99a2518dcd8b271472f212eae60" TargetMode="External"/><Relationship Id="rId18" Type="http://schemas.openxmlformats.org/officeDocument/2006/relationships/hyperlink" Target="https://www.scopus.com/inward/record.uri?eid=2-s2.0-85188740503&amp;doi=10.13053%2fCyS-28-1-4892&amp;partnerID=40&amp;md5=80e18515e5313e4e1346b0a273e1e99f"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scopus.com/inward/record.uri?eid=2-s2.0-84964444601&amp;partnerID=40&amp;md5=2ee5946f8c55e6a977c2c788fc1c7690" TargetMode="External"/><Relationship Id="rId9" Type="http://schemas.openxmlformats.org/officeDocument/2006/relationships/hyperlink" Target="https://www.scopus.com/inward/record.uri?eid=2-s2.0-85161397779&amp;partnerID=40&amp;md5=825b7662f9eaffc00460cb0eda33583b" TargetMode="External"/><Relationship Id="rId5" Type="http://schemas.openxmlformats.org/officeDocument/2006/relationships/hyperlink" Target="https://www.scopus.com/inward/record.uri?eid=2-s2.0-85190406689&amp;doi=10.1007%2f978-3-031-56703-2_31&amp;partnerID=40&amp;md5=54f0a2b69450a60ed799a6e9aced10f1" TargetMode="External"/><Relationship Id="rId6" Type="http://schemas.openxmlformats.org/officeDocument/2006/relationships/hyperlink" Target="https://www.scopus.com/inward/record.uri?eid=2-s2.0-85162885117&amp;doi=10.11834%2fjig.211207&amp;partnerID=40&amp;md5=d9407b24027b38c91c2bc4c85936ca92" TargetMode="External"/><Relationship Id="rId7" Type="http://schemas.openxmlformats.org/officeDocument/2006/relationships/hyperlink" Target="https://www.scopus.com/inward/record.uri?eid=2-s2.0-85129147479&amp;doi=10.1007%2fs12539-022-00515-1&amp;partnerID=40&amp;md5=16dd14cd8dbb497f3998a54935a1bf9b" TargetMode="External"/><Relationship Id="rId8" Type="http://schemas.openxmlformats.org/officeDocument/2006/relationships/hyperlink" Target="https://www.scopus.com/inward/record.uri?eid=2-s2.0-85169909058&amp;doi=10.1007%2fs11042-023-16625-x&amp;partnerID=40&amp;md5=10f60762e9a27c0f03e6c3dfb17fd1d1" TargetMode="External"/><Relationship Id="rId61" Type="http://schemas.openxmlformats.org/officeDocument/2006/relationships/vmlDrawing" Target="../drawings/vmlDrawing2.vml"/><Relationship Id="rId60" Type="http://schemas.openxmlformats.org/officeDocument/2006/relationships/drawing" Target="../drawings/drawing4.xml"/><Relationship Id="rId51" Type="http://schemas.openxmlformats.org/officeDocument/2006/relationships/hyperlink" Target="https://www.scopus.com/inward/record.uri?eid=2-s2.0-85138460701&amp;doi=10.1016%2fj.bios.2022.114635&amp;partnerID=40&amp;md5=f759bcc7463db951ddc02436b7a35c09" TargetMode="External"/><Relationship Id="rId50" Type="http://schemas.openxmlformats.org/officeDocument/2006/relationships/hyperlink" Target="https://www.scopus.com/inward/record.uri?eid=2-s2.0-85145999195&amp;doi=10.3390%2fcancers15010012&amp;partnerID=40&amp;md5=e6bd4d826912f424515730eab17e2e5f" TargetMode="External"/><Relationship Id="rId53" Type="http://schemas.openxmlformats.org/officeDocument/2006/relationships/hyperlink" Target="https://www.scopus.com/inward/record.uri?eid=2-s2.0-85147451303&amp;doi=10.1016%2fj.eswa.2023.119643&amp;partnerID=40&amp;md5=fc3cfad9dd31c4277bf96a7dab0d8ea8" TargetMode="External"/><Relationship Id="rId52" Type="http://schemas.openxmlformats.org/officeDocument/2006/relationships/hyperlink" Target="https://www.scopus.com/inward/record.uri?eid=2-s2.0-85189017106&amp;doi=10.1016%2fj.bspc.2024.106279&amp;partnerID=40&amp;md5=95d649ab1ee2a45e346ae6d2bc3af7c6" TargetMode="External"/><Relationship Id="rId55" Type="http://schemas.openxmlformats.org/officeDocument/2006/relationships/hyperlink" Target="https://www.scopus.com/inward/record.uri?eid=2-s2.0-85164922761&amp;partnerID=40&amp;md5=d880d5fc9abc57f7b03363fc1dc6a912" TargetMode="External"/><Relationship Id="rId54" Type="http://schemas.openxmlformats.org/officeDocument/2006/relationships/hyperlink" Target="https://www.scopus.com/inward/record.uri?eid=2-s2.0-85152659545&amp;doi=10.1016%2fj.jpi.2023.100306&amp;partnerID=40&amp;md5=4645772d162dfceb54509e1c245a544a" TargetMode="External"/><Relationship Id="rId57" Type="http://schemas.openxmlformats.org/officeDocument/2006/relationships/hyperlink" Target="https://www.scopus.com/inward/record.uri?eid=2-s2.0-85193049606&amp;doi=10.33472%2fAFJBS.6.4.2024.429-445&amp;partnerID=40&amp;md5=3e0d081356f772bfa52c32a559b5db71" TargetMode="External"/><Relationship Id="rId56" Type="http://schemas.openxmlformats.org/officeDocument/2006/relationships/hyperlink" Target="https://www.scopus.com/inward/record.uri?eid=2-s2.0-85191815479&amp;doi=10.1016%2fj.eswa.2024.124113&amp;partnerID=40&amp;md5=d4084eed0cfc3501fd77cc3749085982" TargetMode="External"/><Relationship Id="rId59" Type="http://schemas.openxmlformats.org/officeDocument/2006/relationships/hyperlink" Target="https://www.scopus.com/inward/record.uri?eid=2-s2.0-85190974543&amp;doi=10.11591%2fijeecs.v34.i3.pp1739-1752&amp;partnerID=40&amp;md5=87a1d84832d6f52d00a398b237c60a2a" TargetMode="External"/><Relationship Id="rId58" Type="http://schemas.openxmlformats.org/officeDocument/2006/relationships/hyperlink" Target="https://www.scopus.com/inward/record.uri?eid=2-s2.0-85180677552&amp;doi=10.3390%2felectronics12244923&amp;partnerID=40&amp;md5=11c0022513ed79704d6025309412211a"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xml"/><Relationship Id="rId5"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1.xml"/><Relationship Id="rId5"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88"/>
  </cols>
  <sheetData>
    <row r="1">
      <c r="B1" s="1" t="s">
        <v>0</v>
      </c>
    </row>
    <row r="2">
      <c r="A2" s="1" t="s">
        <v>2</v>
      </c>
      <c r="B2" s="1" t="s">
        <v>3</v>
      </c>
      <c r="C2" s="6">
        <f>countif(survey_paper_2026!$F$2:$F$164,A2)</f>
        <v>0</v>
      </c>
    </row>
    <row r="3">
      <c r="A3" s="1" t="s">
        <v>29</v>
      </c>
      <c r="B3" s="1" t="s">
        <v>32</v>
      </c>
      <c r="C3" s="6">
        <f>countif(survey_paper_2026!$F$2:$F$164,A3)</f>
        <v>32</v>
      </c>
    </row>
    <row r="4">
      <c r="A4" s="1" t="s">
        <v>37</v>
      </c>
      <c r="B4" s="1" t="s">
        <v>38</v>
      </c>
      <c r="C4" s="6">
        <f>countif(survey_paper_2026!$F$2:$F$164,A4)</f>
        <v>4</v>
      </c>
    </row>
    <row r="5">
      <c r="A5" s="1" t="s">
        <v>39</v>
      </c>
      <c r="B5" s="1" t="s">
        <v>40</v>
      </c>
      <c r="C5" s="6">
        <f>countif(survey_paper_2026!$F$2:$F$164,A5)</f>
        <v>22</v>
      </c>
    </row>
    <row r="6">
      <c r="A6" s="1" t="s">
        <v>41</v>
      </c>
      <c r="B6" s="1" t="s">
        <v>42</v>
      </c>
      <c r="C6" s="6">
        <f>countif(survey_paper_2026!$F$2:$F$164,A6)</f>
        <v>3</v>
      </c>
    </row>
    <row r="7">
      <c r="A7" s="1" t="s">
        <v>43</v>
      </c>
      <c r="B7" s="1" t="s">
        <v>44</v>
      </c>
      <c r="C7" s="6">
        <f>countif(survey_paper_2026!$F$2:$F$164,A7)</f>
        <v>92</v>
      </c>
    </row>
    <row r="8">
      <c r="A8" s="1" t="s">
        <v>45</v>
      </c>
      <c r="B8" s="1" t="s">
        <v>47</v>
      </c>
      <c r="C8" s="6">
        <f>countif(survey_paper_2026!$F$2:$F$164,A8)</f>
        <v>1</v>
      </c>
    </row>
    <row r="9">
      <c r="A9" s="1" t="s">
        <v>58</v>
      </c>
      <c r="B9" s="1" t="s">
        <v>59</v>
      </c>
      <c r="C9" s="6">
        <f>countif(survey_paper_2026!$F$2:$F$164,A9)</f>
        <v>8</v>
      </c>
    </row>
    <row r="10">
      <c r="C10" s="6">
        <f>SUM(C2:C9)</f>
        <v>162</v>
      </c>
      <c r="D10" s="1" t="s">
        <v>62</v>
      </c>
    </row>
    <row r="12">
      <c r="A12" s="1" t="s">
        <v>63</v>
      </c>
      <c r="B12" s="1" t="s">
        <v>64</v>
      </c>
      <c r="C12" s="6">
        <f>COUNTIF(survey_paper_2026!G2:G163,A12)</f>
        <v>92</v>
      </c>
    </row>
    <row r="13">
      <c r="C13" s="6">
        <f>C7-C12</f>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25"/>
    <col customWidth="1" min="4" max="4" width="5.88"/>
    <col customWidth="1" min="6" max="6" width="5.75"/>
    <col customWidth="1" min="7" max="8" width="6.88"/>
    <col customWidth="1" min="9" max="9" width="13.88"/>
  </cols>
  <sheetData>
    <row r="1">
      <c r="A1" s="3" t="s">
        <v>1</v>
      </c>
      <c r="B1" s="3" t="s">
        <v>6</v>
      </c>
      <c r="C1" s="3" t="s">
        <v>7</v>
      </c>
      <c r="D1" s="3" t="s">
        <v>10</v>
      </c>
      <c r="E1" s="3" t="s">
        <v>12</v>
      </c>
      <c r="F1" s="1" t="s">
        <v>15</v>
      </c>
      <c r="G1" s="1" t="s">
        <v>64</v>
      </c>
      <c r="H1" s="1" t="s">
        <v>165</v>
      </c>
      <c r="I1" s="2" t="s">
        <v>19</v>
      </c>
    </row>
    <row r="2">
      <c r="A2" s="14" t="s">
        <v>166</v>
      </c>
      <c r="B2" s="14" t="s">
        <v>175</v>
      </c>
      <c r="C2" s="15">
        <v>2018.0</v>
      </c>
      <c r="D2" s="15">
        <v>22.0</v>
      </c>
      <c r="E2" s="17" t="s">
        <v>180</v>
      </c>
      <c r="F2" s="18" t="s">
        <v>43</v>
      </c>
      <c r="G2" s="18" t="s">
        <v>63</v>
      </c>
      <c r="H2" s="19">
        <f>countif(Survey!$E$2:$E$57,E2)</f>
        <v>0</v>
      </c>
      <c r="I2" s="14" t="s">
        <v>208</v>
      </c>
    </row>
    <row r="3">
      <c r="A3" s="14" t="s">
        <v>209</v>
      </c>
      <c r="B3" s="14" t="s">
        <v>210</v>
      </c>
      <c r="C3" s="15">
        <v>2019.0</v>
      </c>
      <c r="D3" s="15">
        <v>10.0</v>
      </c>
      <c r="E3" s="17" t="s">
        <v>212</v>
      </c>
      <c r="F3" s="18" t="s">
        <v>43</v>
      </c>
      <c r="G3" s="18" t="s">
        <v>63</v>
      </c>
      <c r="H3" s="19">
        <f>countif(Survey!$E$2:$E$57,E3)</f>
        <v>0</v>
      </c>
      <c r="I3" s="14" t="s">
        <v>240</v>
      </c>
    </row>
    <row r="4">
      <c r="A4" s="14" t="s">
        <v>241</v>
      </c>
      <c r="B4" s="14" t="s">
        <v>242</v>
      </c>
      <c r="C4" s="15">
        <v>2019.0</v>
      </c>
      <c r="D4" s="15">
        <v>74.0</v>
      </c>
      <c r="E4" s="17" t="s">
        <v>243</v>
      </c>
      <c r="F4" s="18" t="s">
        <v>43</v>
      </c>
      <c r="G4" s="18" t="s">
        <v>63</v>
      </c>
      <c r="H4" s="19">
        <f>countif(Survey!$E$2:$E$57,E4)</f>
        <v>0</v>
      </c>
      <c r="I4" s="14" t="s">
        <v>257</v>
      </c>
    </row>
    <row r="5">
      <c r="A5" s="20" t="s">
        <v>258</v>
      </c>
      <c r="B5" s="20" t="s">
        <v>259</v>
      </c>
      <c r="C5" s="21">
        <v>2020.0</v>
      </c>
      <c r="D5" s="21">
        <v>11.0</v>
      </c>
      <c r="E5" s="22" t="s">
        <v>262</v>
      </c>
      <c r="F5" s="23" t="s">
        <v>43</v>
      </c>
      <c r="G5" s="23" t="s">
        <v>63</v>
      </c>
      <c r="H5" s="24">
        <f>countif(Survey!$E$2:$E$57,E5)</f>
        <v>0</v>
      </c>
      <c r="I5" s="2" t="s">
        <v>288</v>
      </c>
    </row>
    <row r="6">
      <c r="A6" s="14" t="s">
        <v>290</v>
      </c>
      <c r="B6" s="14" t="s">
        <v>292</v>
      </c>
      <c r="C6" s="15">
        <v>2020.0</v>
      </c>
      <c r="D6" s="15">
        <v>25.0</v>
      </c>
      <c r="E6" s="17" t="s">
        <v>293</v>
      </c>
      <c r="F6" s="18" t="s">
        <v>43</v>
      </c>
      <c r="G6" s="18" t="s">
        <v>63</v>
      </c>
      <c r="H6" s="19">
        <f>countif(Survey!$E$2:$E$57,E6)</f>
        <v>0</v>
      </c>
      <c r="I6" s="14" t="s">
        <v>317</v>
      </c>
    </row>
    <row r="7">
      <c r="A7" s="14" t="s">
        <v>318</v>
      </c>
      <c r="B7" s="14" t="s">
        <v>229</v>
      </c>
      <c r="C7" s="15">
        <v>2021.0</v>
      </c>
      <c r="D7" s="15">
        <v>4.0</v>
      </c>
      <c r="E7" s="17" t="s">
        <v>319</v>
      </c>
      <c r="F7" s="18" t="s">
        <v>43</v>
      </c>
      <c r="G7" s="18" t="s">
        <v>63</v>
      </c>
      <c r="H7" s="19">
        <f>countif(Survey!$E$2:$E$57,E7)</f>
        <v>0</v>
      </c>
      <c r="I7" s="14" t="s">
        <v>333</v>
      </c>
    </row>
    <row r="8">
      <c r="A8" s="14" t="s">
        <v>335</v>
      </c>
      <c r="B8" s="14" t="s">
        <v>337</v>
      </c>
      <c r="C8" s="15">
        <v>2021.0</v>
      </c>
      <c r="D8" s="15">
        <v>8.0</v>
      </c>
      <c r="E8" s="17" t="s">
        <v>340</v>
      </c>
      <c r="F8" s="18" t="s">
        <v>43</v>
      </c>
      <c r="G8" s="18" t="s">
        <v>63</v>
      </c>
      <c r="H8" s="19">
        <f>countif(Survey!$E$2:$E$57,E8)</f>
        <v>0</v>
      </c>
      <c r="I8" s="14" t="s">
        <v>362</v>
      </c>
    </row>
    <row r="9">
      <c r="A9" s="14" t="s">
        <v>318</v>
      </c>
      <c r="B9" s="14" t="s">
        <v>312</v>
      </c>
      <c r="C9" s="15">
        <v>2022.0</v>
      </c>
      <c r="D9" s="15">
        <v>13.0</v>
      </c>
      <c r="E9" s="17" t="s">
        <v>364</v>
      </c>
      <c r="F9" s="18" t="s">
        <v>43</v>
      </c>
      <c r="G9" s="18" t="s">
        <v>63</v>
      </c>
      <c r="H9" s="19">
        <f>countif(Survey!$E$2:$E$57,E9)</f>
        <v>0</v>
      </c>
      <c r="I9" s="14" t="s">
        <v>477</v>
      </c>
    </row>
    <row r="10">
      <c r="A10" s="14" t="s">
        <v>480</v>
      </c>
      <c r="B10" s="14" t="s">
        <v>309</v>
      </c>
      <c r="C10" s="15">
        <v>2022.0</v>
      </c>
      <c r="D10" s="15">
        <v>3.0</v>
      </c>
      <c r="E10" s="17" t="s">
        <v>482</v>
      </c>
      <c r="F10" s="18" t="s">
        <v>43</v>
      </c>
      <c r="G10" s="18" t="s">
        <v>63</v>
      </c>
      <c r="H10" s="19">
        <f>countif(Survey!$E$2:$E$57,E10)</f>
        <v>0</v>
      </c>
      <c r="I10" s="14" t="s">
        <v>500</v>
      </c>
    </row>
    <row r="11">
      <c r="A11" s="14" t="s">
        <v>502</v>
      </c>
      <c r="B11" s="14" t="s">
        <v>195</v>
      </c>
      <c r="C11" s="15">
        <v>2022.0</v>
      </c>
      <c r="D11" s="15">
        <v>30.0</v>
      </c>
      <c r="E11" s="17" t="s">
        <v>503</v>
      </c>
      <c r="F11" s="18" t="s">
        <v>43</v>
      </c>
      <c r="G11" s="18" t="s">
        <v>63</v>
      </c>
      <c r="H11" s="19">
        <f>countif(Survey!$E$2:$E$57,E11)</f>
        <v>0</v>
      </c>
      <c r="I11" s="14" t="s">
        <v>523</v>
      </c>
    </row>
    <row r="12">
      <c r="A12" s="14" t="s">
        <v>525</v>
      </c>
      <c r="B12" s="14" t="s">
        <v>526</v>
      </c>
      <c r="C12" s="15">
        <v>2023.0</v>
      </c>
      <c r="D12" s="15">
        <v>31.0</v>
      </c>
      <c r="E12" s="17" t="s">
        <v>527</v>
      </c>
      <c r="F12" s="18" t="s">
        <v>43</v>
      </c>
      <c r="G12" s="18" t="s">
        <v>63</v>
      </c>
      <c r="H12" s="19">
        <f>countif(Survey!$E$2:$E$57,E12)</f>
        <v>0</v>
      </c>
      <c r="I12" s="14" t="s">
        <v>540</v>
      </c>
    </row>
    <row r="13">
      <c r="A13" s="14" t="s">
        <v>544</v>
      </c>
      <c r="B13" s="14" t="s">
        <v>546</v>
      </c>
      <c r="C13" s="15">
        <v>2023.0</v>
      </c>
      <c r="D13" s="15">
        <v>1.0</v>
      </c>
      <c r="E13" s="17" t="s">
        <v>548</v>
      </c>
      <c r="F13" s="18" t="s">
        <v>43</v>
      </c>
      <c r="G13" s="18" t="s">
        <v>63</v>
      </c>
      <c r="H13" s="19">
        <f>countif(Survey!$E$2:$E$57,E13)</f>
        <v>0</v>
      </c>
      <c r="I13" s="14" t="s">
        <v>573</v>
      </c>
    </row>
    <row r="14">
      <c r="A14" s="14" t="s">
        <v>575</v>
      </c>
      <c r="B14" s="14" t="s">
        <v>431</v>
      </c>
      <c r="C14" s="15">
        <v>2023.0</v>
      </c>
      <c r="D14" s="15">
        <v>12.0</v>
      </c>
      <c r="E14" s="17" t="s">
        <v>577</v>
      </c>
      <c r="F14" s="18" t="s">
        <v>43</v>
      </c>
      <c r="G14" s="18" t="s">
        <v>63</v>
      </c>
      <c r="H14" s="19">
        <f>countif(Survey!$E$2:$E$57,E14)</f>
        <v>0</v>
      </c>
      <c r="I14" s="14" t="s">
        <v>590</v>
      </c>
    </row>
    <row r="15">
      <c r="A15" s="14" t="s">
        <v>591</v>
      </c>
      <c r="B15" s="14" t="s">
        <v>280</v>
      </c>
      <c r="C15" s="15">
        <v>2023.0</v>
      </c>
      <c r="D15" s="15">
        <v>64.0</v>
      </c>
      <c r="E15" s="17" t="s">
        <v>595</v>
      </c>
      <c r="F15" s="18" t="s">
        <v>43</v>
      </c>
      <c r="G15" s="18" t="s">
        <v>63</v>
      </c>
      <c r="H15" s="19">
        <f>countif(Survey!$E$2:$E$57,E15)</f>
        <v>0</v>
      </c>
      <c r="I15" s="14" t="s">
        <v>615</v>
      </c>
    </row>
    <row r="16">
      <c r="A16" s="14" t="s">
        <v>616</v>
      </c>
      <c r="B16" s="14" t="s">
        <v>618</v>
      </c>
      <c r="C16" s="15">
        <v>2023.0</v>
      </c>
      <c r="D16" s="15">
        <v>2.0</v>
      </c>
      <c r="E16" s="17" t="s">
        <v>620</v>
      </c>
      <c r="F16" s="18" t="s">
        <v>43</v>
      </c>
      <c r="G16" s="18" t="s">
        <v>63</v>
      </c>
      <c r="H16" s="19">
        <f>countif(Survey!$E$2:$E$57,E16)</f>
        <v>0</v>
      </c>
      <c r="I16" s="14" t="s">
        <v>639</v>
      </c>
    </row>
    <row r="17">
      <c r="A17" s="14" t="s">
        <v>640</v>
      </c>
      <c r="B17" s="14" t="s">
        <v>125</v>
      </c>
      <c r="C17" s="15">
        <v>2024.0</v>
      </c>
      <c r="D17" s="15">
        <v>6.0</v>
      </c>
      <c r="E17" s="17" t="s">
        <v>642</v>
      </c>
      <c r="F17" s="18" t="s">
        <v>43</v>
      </c>
      <c r="G17" s="18" t="s">
        <v>63</v>
      </c>
      <c r="H17" s="19">
        <f>countif(Survey!$E$2:$E$57,E17)</f>
        <v>0</v>
      </c>
      <c r="I17" s="14" t="s">
        <v>662</v>
      </c>
    </row>
    <row r="18">
      <c r="A18" s="14" t="s">
        <v>664</v>
      </c>
      <c r="B18" s="14" t="s">
        <v>629</v>
      </c>
      <c r="C18" s="15">
        <v>2024.0</v>
      </c>
      <c r="D18" s="15">
        <v>40.0</v>
      </c>
      <c r="E18" s="17" t="s">
        <v>668</v>
      </c>
      <c r="F18" s="18" t="s">
        <v>43</v>
      </c>
      <c r="G18" s="18" t="s">
        <v>63</v>
      </c>
      <c r="H18" s="19">
        <f>countif(Survey!$E$2:$E$57,E18)</f>
        <v>0</v>
      </c>
      <c r="I18" s="14" t="s">
        <v>695</v>
      </c>
    </row>
    <row r="19">
      <c r="A19" s="14" t="s">
        <v>699</v>
      </c>
      <c r="B19" s="14" t="s">
        <v>701</v>
      </c>
      <c r="C19" s="15">
        <v>2024.0</v>
      </c>
      <c r="D19" s="15">
        <v>28.0</v>
      </c>
      <c r="E19" s="17" t="s">
        <v>704</v>
      </c>
      <c r="F19" s="18" t="s">
        <v>43</v>
      </c>
      <c r="G19" s="18" t="s">
        <v>63</v>
      </c>
      <c r="H19" s="19">
        <f>countif(Survey!$E$2:$E$57,E19)</f>
        <v>0</v>
      </c>
      <c r="I19" s="14" t="s">
        <v>744</v>
      </c>
    </row>
    <row r="20">
      <c r="A20" s="14" t="s">
        <v>747</v>
      </c>
      <c r="B20" s="14" t="s">
        <v>375</v>
      </c>
      <c r="C20" s="15">
        <v>2024.0</v>
      </c>
      <c r="D20" s="15">
        <v>4.0</v>
      </c>
      <c r="E20" s="17" t="s">
        <v>752</v>
      </c>
      <c r="F20" s="18" t="s">
        <v>43</v>
      </c>
      <c r="G20" s="18" t="s">
        <v>63</v>
      </c>
      <c r="H20" s="19">
        <f>countif(Survey!$E$2:$E$57,E20)</f>
        <v>0</v>
      </c>
      <c r="I20" s="14" t="s">
        <v>775</v>
      </c>
    </row>
    <row r="21">
      <c r="A21" s="14" t="s">
        <v>776</v>
      </c>
      <c r="B21" s="14" t="s">
        <v>778</v>
      </c>
      <c r="C21" s="15">
        <v>2024.0</v>
      </c>
      <c r="D21" s="15">
        <v>22.0</v>
      </c>
      <c r="E21" s="17" t="s">
        <v>781</v>
      </c>
      <c r="F21" s="18" t="s">
        <v>43</v>
      </c>
      <c r="G21" s="18" t="s">
        <v>63</v>
      </c>
      <c r="H21" s="19">
        <f>countif(Survey!$E$2:$E$57,E21)</f>
        <v>0</v>
      </c>
      <c r="I21" s="14" t="s">
        <v>803</v>
      </c>
    </row>
    <row r="22">
      <c r="A22" s="14" t="s">
        <v>804</v>
      </c>
      <c r="B22" s="14" t="s">
        <v>516</v>
      </c>
      <c r="C22" s="15">
        <v>2024.0</v>
      </c>
      <c r="D22" s="15">
        <v>9.0</v>
      </c>
      <c r="E22" s="17" t="s">
        <v>809</v>
      </c>
      <c r="F22" s="18" t="s">
        <v>43</v>
      </c>
      <c r="G22" s="18" t="s">
        <v>63</v>
      </c>
      <c r="H22" s="19">
        <f>countif(Survey!$E$2:$E$57,E22)</f>
        <v>0</v>
      </c>
      <c r="I22" s="14" t="s">
        <v>834</v>
      </c>
    </row>
    <row r="23">
      <c r="A23" s="14" t="s">
        <v>835</v>
      </c>
      <c r="B23" s="14" t="s">
        <v>837</v>
      </c>
      <c r="C23" s="15">
        <v>2024.0</v>
      </c>
      <c r="D23" s="15">
        <v>5.0</v>
      </c>
      <c r="E23" s="17" t="s">
        <v>842</v>
      </c>
      <c r="F23" s="18" t="s">
        <v>43</v>
      </c>
      <c r="G23" s="18" t="s">
        <v>63</v>
      </c>
      <c r="H23" s="19">
        <f>countif(Survey!$E$2:$E$57,E23)</f>
        <v>0</v>
      </c>
      <c r="I23" s="14" t="s">
        <v>864</v>
      </c>
    </row>
    <row r="24">
      <c r="A24" s="14" t="s">
        <v>867</v>
      </c>
      <c r="B24" s="14" t="s">
        <v>868</v>
      </c>
      <c r="C24" s="15">
        <v>2025.0</v>
      </c>
      <c r="D24" s="15">
        <v>1.0</v>
      </c>
      <c r="E24" s="17" t="s">
        <v>869</v>
      </c>
      <c r="F24" s="18" t="s">
        <v>43</v>
      </c>
      <c r="G24" s="18" t="s">
        <v>63</v>
      </c>
      <c r="H24" s="19">
        <f>countif(Survey!$E$2:$E$57,E24)</f>
        <v>0</v>
      </c>
      <c r="I24" s="14" t="s">
        <v>882</v>
      </c>
    </row>
    <row r="25">
      <c r="B25" s="2" t="s">
        <v>365</v>
      </c>
      <c r="C25" s="7">
        <v>2013.0</v>
      </c>
      <c r="D25" s="7">
        <v>0.0</v>
      </c>
      <c r="E25" s="9" t="s">
        <v>885</v>
      </c>
      <c r="F25" s="1" t="s">
        <v>29</v>
      </c>
      <c r="H25" s="6">
        <f>countif(Survey!$E$2:$E$57,E25)</f>
        <v>0</v>
      </c>
      <c r="I25" s="2" t="s">
        <v>908</v>
      </c>
    </row>
    <row r="26">
      <c r="B26" s="2" t="s">
        <v>17</v>
      </c>
      <c r="C26" s="7">
        <v>2015.0</v>
      </c>
      <c r="D26" s="7">
        <v>0.0</v>
      </c>
      <c r="E26" s="9" t="s">
        <v>21</v>
      </c>
      <c r="F26" s="1" t="s">
        <v>29</v>
      </c>
      <c r="H26" s="6">
        <f>countif(Survey!$E$2:$E$57,E26)</f>
        <v>1</v>
      </c>
      <c r="I26" s="2" t="s">
        <v>920</v>
      </c>
    </row>
    <row r="27">
      <c r="A27" s="2" t="s">
        <v>921</v>
      </c>
      <c r="B27" s="2" t="s">
        <v>361</v>
      </c>
      <c r="C27" s="7">
        <v>2017.0</v>
      </c>
      <c r="D27" s="7">
        <v>4.0</v>
      </c>
      <c r="E27" s="9" t="s">
        <v>922</v>
      </c>
      <c r="F27" s="1" t="s">
        <v>37</v>
      </c>
      <c r="H27" s="6">
        <f>countif(Survey!$E$2:$E$57,E27)</f>
        <v>0</v>
      </c>
      <c r="I27" s="2" t="s">
        <v>945</v>
      </c>
    </row>
    <row r="28">
      <c r="A28" s="2" t="s">
        <v>947</v>
      </c>
      <c r="B28" s="2" t="s">
        <v>949</v>
      </c>
      <c r="C28" s="7">
        <v>2019.0</v>
      </c>
      <c r="D28" s="7">
        <v>59.0</v>
      </c>
      <c r="E28" s="9" t="s">
        <v>950</v>
      </c>
      <c r="F28" s="1" t="s">
        <v>39</v>
      </c>
      <c r="H28" s="6">
        <f>countif(Survey!$E$2:$E$57,E28)</f>
        <v>0</v>
      </c>
      <c r="I28" s="2" t="s">
        <v>957</v>
      </c>
    </row>
    <row r="29">
      <c r="A29" s="2" t="s">
        <v>960</v>
      </c>
      <c r="B29" s="2" t="s">
        <v>961</v>
      </c>
      <c r="C29" s="7">
        <v>2019.0</v>
      </c>
      <c r="D29" s="7">
        <v>21.0</v>
      </c>
      <c r="E29" s="9" t="s">
        <v>963</v>
      </c>
      <c r="F29" s="1" t="s">
        <v>39</v>
      </c>
      <c r="H29" s="6">
        <f>countif(Survey!$E$2:$E$57,E29)</f>
        <v>0</v>
      </c>
      <c r="I29" s="2" t="s">
        <v>979</v>
      </c>
    </row>
    <row r="30">
      <c r="A30" s="2" t="s">
        <v>980</v>
      </c>
      <c r="B30" s="2" t="s">
        <v>355</v>
      </c>
      <c r="C30" s="7">
        <v>2019.0</v>
      </c>
      <c r="D30" s="7">
        <v>2.0</v>
      </c>
      <c r="E30" s="9" t="s">
        <v>981</v>
      </c>
      <c r="F30" s="1" t="s">
        <v>39</v>
      </c>
      <c r="H30" s="6">
        <f>countif(Survey!$E$2:$E$57,E30)</f>
        <v>0</v>
      </c>
      <c r="I30" s="2" t="s">
        <v>996</v>
      </c>
    </row>
    <row r="31">
      <c r="A31" s="8"/>
      <c r="B31" s="2" t="s">
        <v>358</v>
      </c>
      <c r="C31" s="7">
        <v>2019.0</v>
      </c>
      <c r="D31" s="7">
        <v>0.0</v>
      </c>
      <c r="E31" s="9" t="s">
        <v>582</v>
      </c>
      <c r="F31" s="1" t="s">
        <v>29</v>
      </c>
      <c r="H31" s="6">
        <f>countif(Survey!$E$2:$E$57,E31)</f>
        <v>1</v>
      </c>
      <c r="I31" s="2" t="s">
        <v>1014</v>
      </c>
    </row>
    <row r="32">
      <c r="A32" s="2" t="s">
        <v>1016</v>
      </c>
      <c r="B32" s="2" t="s">
        <v>328</v>
      </c>
      <c r="C32" s="7">
        <v>2020.0</v>
      </c>
      <c r="D32" s="7">
        <v>5.0</v>
      </c>
      <c r="E32" s="9" t="s">
        <v>1021</v>
      </c>
      <c r="F32" s="1" t="s">
        <v>43</v>
      </c>
      <c r="G32" s="1" t="s">
        <v>63</v>
      </c>
      <c r="H32" s="6">
        <f>countif(Survey!$E$2:$E$57,E32)</f>
        <v>0</v>
      </c>
      <c r="I32" s="2" t="s">
        <v>1028</v>
      </c>
    </row>
    <row r="33">
      <c r="A33" s="2" t="s">
        <v>1031</v>
      </c>
      <c r="B33" s="2" t="s">
        <v>346</v>
      </c>
      <c r="C33" s="7">
        <v>2020.0</v>
      </c>
      <c r="D33" s="7">
        <v>2.0</v>
      </c>
      <c r="E33" s="9" t="s">
        <v>1037</v>
      </c>
      <c r="F33" s="1" t="s">
        <v>43</v>
      </c>
      <c r="G33" s="1" t="s">
        <v>63</v>
      </c>
      <c r="H33" s="6">
        <f>countif(Survey!$E$2:$E$57,E33)</f>
        <v>0</v>
      </c>
      <c r="I33" s="2" t="s">
        <v>1050</v>
      </c>
    </row>
    <row r="34">
      <c r="A34" s="20" t="s">
        <v>1052</v>
      </c>
      <c r="B34" s="20" t="s">
        <v>350</v>
      </c>
      <c r="C34" s="21">
        <v>2020.0</v>
      </c>
      <c r="D34" s="21">
        <v>134.0</v>
      </c>
      <c r="E34" s="22" t="s">
        <v>1054</v>
      </c>
      <c r="F34" s="23" t="s">
        <v>43</v>
      </c>
      <c r="G34" s="23" t="s">
        <v>63</v>
      </c>
      <c r="H34" s="24">
        <f>countif(Survey!$E$2:$E$57,E34)</f>
        <v>0</v>
      </c>
      <c r="I34" s="2" t="s">
        <v>1064</v>
      </c>
    </row>
    <row r="35">
      <c r="A35" s="20" t="s">
        <v>1065</v>
      </c>
      <c r="B35" s="20" t="s">
        <v>336</v>
      </c>
      <c r="C35" s="21">
        <v>2020.0</v>
      </c>
      <c r="D35" s="21">
        <v>4.0</v>
      </c>
      <c r="E35" s="22" t="s">
        <v>1067</v>
      </c>
      <c r="F35" s="23" t="s">
        <v>43</v>
      </c>
      <c r="G35" s="41" t="s">
        <v>63</v>
      </c>
      <c r="H35" s="24">
        <f>countif(Survey!$E$2:$E$57,E35)</f>
        <v>0</v>
      </c>
      <c r="I35" s="2" t="s">
        <v>1078</v>
      </c>
    </row>
    <row r="36">
      <c r="A36" s="2" t="s">
        <v>1079</v>
      </c>
      <c r="B36" s="2" t="s">
        <v>321</v>
      </c>
      <c r="C36" s="7">
        <v>2021.0</v>
      </c>
      <c r="D36" s="7">
        <v>6.0</v>
      </c>
      <c r="E36" s="9" t="s">
        <v>1082</v>
      </c>
      <c r="F36" s="1" t="s">
        <v>39</v>
      </c>
      <c r="H36" s="6">
        <f>countif(Survey!$E$2:$E$57,E36)</f>
        <v>0</v>
      </c>
      <c r="I36" s="2" t="s">
        <v>1097</v>
      </c>
    </row>
    <row r="37">
      <c r="A37" s="8"/>
      <c r="B37" s="2" t="s">
        <v>326</v>
      </c>
      <c r="C37" s="7">
        <v>2021.0</v>
      </c>
      <c r="D37" s="7">
        <v>0.0</v>
      </c>
      <c r="E37" s="9" t="s">
        <v>959</v>
      </c>
      <c r="F37" s="1" t="s">
        <v>29</v>
      </c>
      <c r="H37" s="6">
        <f>countif(Survey!$E$2:$E$57,E37)</f>
        <v>1</v>
      </c>
      <c r="I37" s="2" t="s">
        <v>1112</v>
      </c>
    </row>
    <row r="38">
      <c r="A38" s="8"/>
      <c r="B38" s="2" t="s">
        <v>325</v>
      </c>
      <c r="C38" s="7">
        <v>2021.0</v>
      </c>
      <c r="D38" s="7">
        <v>0.0</v>
      </c>
      <c r="E38" s="9" t="s">
        <v>935</v>
      </c>
      <c r="F38" s="1" t="s">
        <v>29</v>
      </c>
      <c r="H38" s="6">
        <f>countif(Survey!$E$2:$E$57,E38)</f>
        <v>1</v>
      </c>
      <c r="I38" s="2" t="s">
        <v>1135</v>
      </c>
    </row>
    <row r="39">
      <c r="A39" s="2" t="s">
        <v>1137</v>
      </c>
      <c r="B39" s="2" t="s">
        <v>323</v>
      </c>
      <c r="C39" s="7">
        <v>2021.0</v>
      </c>
      <c r="D39" s="7">
        <v>4.0</v>
      </c>
      <c r="E39" s="9" t="s">
        <v>1141</v>
      </c>
      <c r="F39" s="1" t="s">
        <v>43</v>
      </c>
      <c r="G39" s="1" t="s">
        <v>63</v>
      </c>
      <c r="H39" s="6">
        <f>countif(Survey!$E$2:$E$57,E39)</f>
        <v>0</v>
      </c>
      <c r="I39" s="2" t="s">
        <v>1167</v>
      </c>
    </row>
    <row r="40">
      <c r="A40" s="8"/>
      <c r="B40" s="2" t="s">
        <v>303</v>
      </c>
      <c r="C40" s="7">
        <v>2022.0</v>
      </c>
      <c r="D40" s="7">
        <v>0.0</v>
      </c>
      <c r="E40" s="9" t="s">
        <v>404</v>
      </c>
      <c r="F40" s="1" t="s">
        <v>29</v>
      </c>
      <c r="H40" s="6">
        <f>countif(Survey!$E$2:$E$57,E40)</f>
        <v>1</v>
      </c>
      <c r="I40" s="2" t="s">
        <v>1190</v>
      </c>
    </row>
    <row r="41">
      <c r="A41" s="2" t="s">
        <v>1193</v>
      </c>
      <c r="B41" s="2" t="s">
        <v>316</v>
      </c>
      <c r="C41" s="7">
        <v>2022.0</v>
      </c>
      <c r="D41" s="7">
        <v>4.0</v>
      </c>
      <c r="E41" s="9" t="s">
        <v>1197</v>
      </c>
      <c r="F41" s="1" t="s">
        <v>43</v>
      </c>
      <c r="G41" s="1" t="s">
        <v>63</v>
      </c>
      <c r="H41" s="6">
        <f>countif(Survey!$E$2:$E$57,E41)</f>
        <v>0</v>
      </c>
      <c r="I41" s="2" t="s">
        <v>1203</v>
      </c>
    </row>
    <row r="42">
      <c r="A42" s="2" t="s">
        <v>1204</v>
      </c>
      <c r="B42" s="2" t="s">
        <v>108</v>
      </c>
      <c r="C42" s="7">
        <v>2022.0</v>
      </c>
      <c r="D42" s="7">
        <v>22.0</v>
      </c>
      <c r="E42" s="9" t="s">
        <v>1207</v>
      </c>
      <c r="F42" s="1" t="s">
        <v>41</v>
      </c>
      <c r="H42" s="6">
        <f>countif(Survey!$E$2:$E$57,E42)</f>
        <v>0</v>
      </c>
      <c r="I42" s="2" t="s">
        <v>1209</v>
      </c>
    </row>
    <row r="43">
      <c r="A43" s="2" t="s">
        <v>1212</v>
      </c>
      <c r="B43" s="2" t="s">
        <v>291</v>
      </c>
      <c r="C43" s="7">
        <v>2022.0</v>
      </c>
      <c r="D43" s="7">
        <v>62.0</v>
      </c>
      <c r="E43" s="9" t="s">
        <v>1216</v>
      </c>
      <c r="F43" s="1" t="s">
        <v>39</v>
      </c>
      <c r="H43" s="6">
        <f>countif(Survey!$E$2:$E$57,E43)</f>
        <v>0</v>
      </c>
      <c r="I43" s="2" t="s">
        <v>1223</v>
      </c>
    </row>
    <row r="44">
      <c r="A44" s="2" t="s">
        <v>1225</v>
      </c>
      <c r="B44" s="2" t="s">
        <v>756</v>
      </c>
      <c r="C44" s="7">
        <v>2022.0</v>
      </c>
      <c r="D44" s="7">
        <v>23.0</v>
      </c>
      <c r="E44" s="9" t="s">
        <v>1228</v>
      </c>
      <c r="F44" s="1" t="s">
        <v>45</v>
      </c>
      <c r="H44" s="6">
        <f>countif(Survey!$E$2:$E$57,E44)</f>
        <v>0</v>
      </c>
      <c r="I44" s="2" t="s">
        <v>1241</v>
      </c>
    </row>
    <row r="45">
      <c r="A45" s="8"/>
      <c r="B45" s="2" t="s">
        <v>683</v>
      </c>
      <c r="C45" s="7">
        <v>2022.0</v>
      </c>
      <c r="D45" s="7">
        <v>0.0</v>
      </c>
      <c r="E45" s="9" t="s">
        <v>686</v>
      </c>
      <c r="F45" s="1" t="s">
        <v>29</v>
      </c>
      <c r="H45" s="6">
        <f>countif(Survey!$E$2:$E$57,E45)</f>
        <v>1</v>
      </c>
      <c r="I45" s="2" t="s">
        <v>1257</v>
      </c>
    </row>
    <row r="46">
      <c r="A46" s="8"/>
      <c r="B46" s="2" t="s">
        <v>297</v>
      </c>
      <c r="C46" s="7">
        <v>2022.0</v>
      </c>
      <c r="D46" s="7">
        <v>0.0</v>
      </c>
      <c r="E46" s="9" t="s">
        <v>382</v>
      </c>
      <c r="F46" s="1" t="s">
        <v>29</v>
      </c>
      <c r="H46" s="6">
        <f>countif(Survey!$E$2:$E$57,E46)</f>
        <v>1</v>
      </c>
      <c r="I46" s="2" t="s">
        <v>1268</v>
      </c>
    </row>
    <row r="47">
      <c r="A47" s="8"/>
      <c r="B47" s="2" t="s">
        <v>255</v>
      </c>
      <c r="C47" s="7">
        <v>2022.0</v>
      </c>
      <c r="D47" s="7">
        <v>0.0</v>
      </c>
      <c r="E47" s="9" t="s">
        <v>256</v>
      </c>
      <c r="F47" s="1" t="s">
        <v>29</v>
      </c>
      <c r="H47" s="6">
        <f>countif(Survey!$E$2:$E$57,E47)</f>
        <v>1</v>
      </c>
      <c r="I47" s="2" t="s">
        <v>1286</v>
      </c>
    </row>
    <row r="48">
      <c r="A48" s="2" t="s">
        <v>1288</v>
      </c>
      <c r="B48" s="2" t="s">
        <v>994</v>
      </c>
      <c r="C48" s="7">
        <v>2023.0</v>
      </c>
      <c r="D48" s="7">
        <v>34.0</v>
      </c>
      <c r="E48" s="9" t="s">
        <v>1289</v>
      </c>
      <c r="F48" s="1" t="s">
        <v>37</v>
      </c>
      <c r="H48" s="6">
        <f>countif(Survey!$E$2:$E$57,E48)</f>
        <v>0</v>
      </c>
      <c r="I48" s="2" t="s">
        <v>1304</v>
      </c>
    </row>
    <row r="49">
      <c r="A49" s="2" t="s">
        <v>1305</v>
      </c>
      <c r="B49" s="2" t="s">
        <v>1105</v>
      </c>
      <c r="C49" s="7">
        <v>2023.0</v>
      </c>
      <c r="D49" s="7">
        <v>7.0</v>
      </c>
      <c r="E49" s="9" t="s">
        <v>1306</v>
      </c>
      <c r="F49" s="1" t="s">
        <v>43</v>
      </c>
      <c r="G49" s="1" t="s">
        <v>63</v>
      </c>
      <c r="H49" s="6">
        <f>countif(Survey!$E$2:$E$57,E49)</f>
        <v>0</v>
      </c>
      <c r="I49" s="2" t="s">
        <v>1321</v>
      </c>
    </row>
    <row r="50">
      <c r="A50" s="2" t="s">
        <v>1323</v>
      </c>
      <c r="B50" s="2" t="s">
        <v>971</v>
      </c>
      <c r="C50" s="7">
        <v>2023.0</v>
      </c>
      <c r="D50" s="7">
        <v>3.0</v>
      </c>
      <c r="E50" s="9" t="s">
        <v>1324</v>
      </c>
      <c r="F50" s="1" t="s">
        <v>39</v>
      </c>
      <c r="H50" s="6">
        <f>countif(Survey!$E$2:$E$57,E50)</f>
        <v>0</v>
      </c>
      <c r="I50" s="2" t="s">
        <v>1339</v>
      </c>
    </row>
    <row r="51">
      <c r="A51" s="2" t="s">
        <v>1344</v>
      </c>
      <c r="B51" s="2" t="s">
        <v>455</v>
      </c>
      <c r="C51" s="7">
        <v>2023.0</v>
      </c>
      <c r="D51" s="7">
        <v>16.0</v>
      </c>
      <c r="E51" s="9" t="s">
        <v>1347</v>
      </c>
      <c r="F51" s="1" t="s">
        <v>43</v>
      </c>
      <c r="G51" s="1" t="s">
        <v>63</v>
      </c>
      <c r="H51" s="6">
        <f>countif(Survey!$E$2:$E$57,E51)</f>
        <v>0</v>
      </c>
      <c r="I51" s="2" t="s">
        <v>1358</v>
      </c>
    </row>
    <row r="52">
      <c r="A52" s="2" t="s">
        <v>508</v>
      </c>
      <c r="B52" s="2" t="s">
        <v>416</v>
      </c>
      <c r="C52" s="7">
        <v>2023.0</v>
      </c>
      <c r="D52" s="7">
        <v>3.0</v>
      </c>
      <c r="E52" s="9" t="s">
        <v>1359</v>
      </c>
      <c r="F52" s="1" t="s">
        <v>43</v>
      </c>
      <c r="G52" s="1" t="s">
        <v>63</v>
      </c>
      <c r="H52" s="6">
        <f>countif(Survey!$E$2:$E$57,E52)</f>
        <v>0</v>
      </c>
      <c r="I52" s="2" t="s">
        <v>1370</v>
      </c>
    </row>
    <row r="53">
      <c r="A53" s="8"/>
      <c r="B53" s="2" t="s">
        <v>181</v>
      </c>
      <c r="C53" s="7">
        <v>2023.0</v>
      </c>
      <c r="D53" s="7">
        <v>0.0</v>
      </c>
      <c r="E53" s="9" t="s">
        <v>182</v>
      </c>
      <c r="F53" s="1" t="s">
        <v>29</v>
      </c>
      <c r="H53" s="6">
        <f>countif(Survey!$E$2:$E$57,E53)</f>
        <v>1</v>
      </c>
      <c r="I53" s="2" t="s">
        <v>1377</v>
      </c>
    </row>
    <row r="54">
      <c r="A54" s="2" t="s">
        <v>1378</v>
      </c>
      <c r="B54" s="2" t="s">
        <v>1058</v>
      </c>
      <c r="C54" s="7">
        <v>2023.0</v>
      </c>
      <c r="D54" s="7">
        <v>19.0</v>
      </c>
      <c r="E54" s="9" t="s">
        <v>1381</v>
      </c>
      <c r="F54" s="1" t="s">
        <v>43</v>
      </c>
      <c r="G54" s="1" t="s">
        <v>63</v>
      </c>
      <c r="H54" s="6">
        <f>countif(Survey!$E$2:$E$57,E54)</f>
        <v>0</v>
      </c>
      <c r="I54" s="2" t="s">
        <v>1388</v>
      </c>
    </row>
    <row r="55">
      <c r="A55" s="2" t="s">
        <v>1391</v>
      </c>
      <c r="B55" s="2" t="s">
        <v>1392</v>
      </c>
      <c r="C55" s="7">
        <v>2023.0</v>
      </c>
      <c r="D55" s="7">
        <v>3.0</v>
      </c>
      <c r="E55" s="9" t="s">
        <v>1393</v>
      </c>
      <c r="F55" s="1" t="s">
        <v>43</v>
      </c>
      <c r="G55" s="1" t="s">
        <v>63</v>
      </c>
      <c r="H55" s="6">
        <f>countif(Survey!$E$2:$E$57,E55)</f>
        <v>0</v>
      </c>
      <c r="I55" s="2" t="s">
        <v>1421</v>
      </c>
    </row>
    <row r="56">
      <c r="A56" s="2" t="s">
        <v>1425</v>
      </c>
      <c r="B56" s="2" t="s">
        <v>273</v>
      </c>
      <c r="C56" s="7">
        <v>2023.0</v>
      </c>
      <c r="D56" s="7">
        <v>17.0</v>
      </c>
      <c r="E56" s="9" t="s">
        <v>1431</v>
      </c>
      <c r="F56" s="1" t="s">
        <v>43</v>
      </c>
      <c r="G56" s="1" t="s">
        <v>63</v>
      </c>
      <c r="H56" s="6">
        <f>countif(Survey!$E$2:$E$57,E56)</f>
        <v>0</v>
      </c>
      <c r="I56" s="2" t="s">
        <v>1445</v>
      </c>
    </row>
    <row r="57">
      <c r="A57" s="2" t="s">
        <v>1446</v>
      </c>
      <c r="B57" s="2" t="s">
        <v>1447</v>
      </c>
      <c r="C57" s="7">
        <v>2023.0</v>
      </c>
      <c r="D57" s="7">
        <v>1.0</v>
      </c>
      <c r="E57" s="9" t="s">
        <v>1448</v>
      </c>
      <c r="F57" s="1" t="s">
        <v>39</v>
      </c>
      <c r="G57" s="47" t="s">
        <v>39</v>
      </c>
      <c r="H57" s="6">
        <f>countif(Survey!$E$2:$E$57,E57)</f>
        <v>0</v>
      </c>
      <c r="I57" s="2" t="s">
        <v>1486</v>
      </c>
    </row>
    <row r="58">
      <c r="A58" s="2" t="s">
        <v>1488</v>
      </c>
      <c r="B58" s="2" t="s">
        <v>349</v>
      </c>
      <c r="C58" s="7">
        <v>2023.0</v>
      </c>
      <c r="D58" s="7">
        <v>3.0</v>
      </c>
      <c r="E58" s="9" t="s">
        <v>1491</v>
      </c>
      <c r="F58" s="1" t="s">
        <v>43</v>
      </c>
      <c r="G58" s="1" t="s">
        <v>63</v>
      </c>
      <c r="H58" s="6">
        <f>countif(Survey!$E$2:$E$57,E58)</f>
        <v>0</v>
      </c>
      <c r="I58" s="2" t="s">
        <v>1517</v>
      </c>
    </row>
    <row r="59">
      <c r="A59" s="8"/>
      <c r="B59" s="2" t="s">
        <v>151</v>
      </c>
      <c r="C59" s="7">
        <v>2023.0</v>
      </c>
      <c r="D59" s="7">
        <v>0.0</v>
      </c>
      <c r="E59" s="9" t="s">
        <v>152</v>
      </c>
      <c r="F59" s="1" t="s">
        <v>29</v>
      </c>
      <c r="H59" s="6">
        <f>countif(Survey!$E$2:$E$57,E59)</f>
        <v>1</v>
      </c>
      <c r="I59" s="2" t="s">
        <v>1555</v>
      </c>
    </row>
    <row r="60">
      <c r="A60" s="8"/>
      <c r="B60" s="2" t="s">
        <v>1068</v>
      </c>
      <c r="C60" s="7">
        <v>2023.0</v>
      </c>
      <c r="D60" s="7">
        <v>0.0</v>
      </c>
      <c r="E60" s="9" t="s">
        <v>1069</v>
      </c>
      <c r="F60" s="1" t="s">
        <v>29</v>
      </c>
      <c r="H60" s="6">
        <f>countif(Survey!$E$2:$E$57,E60)</f>
        <v>1</v>
      </c>
      <c r="I60" s="2" t="s">
        <v>1570</v>
      </c>
    </row>
    <row r="61">
      <c r="A61" s="8"/>
      <c r="B61" s="2" t="s">
        <v>619</v>
      </c>
      <c r="C61" s="7">
        <v>2023.0</v>
      </c>
      <c r="D61" s="7">
        <v>0.0</v>
      </c>
      <c r="E61" s="9" t="s">
        <v>621</v>
      </c>
      <c r="F61" s="1" t="s">
        <v>29</v>
      </c>
      <c r="H61" s="6">
        <f>countif(Survey!$E$2:$E$57,E61)</f>
        <v>1</v>
      </c>
      <c r="I61" s="2" t="s">
        <v>1571</v>
      </c>
    </row>
    <row r="62">
      <c r="A62" s="8"/>
      <c r="B62" s="2" t="s">
        <v>301</v>
      </c>
      <c r="C62" s="7">
        <v>2023.0</v>
      </c>
      <c r="D62" s="7">
        <v>0.0</v>
      </c>
      <c r="E62" s="9" t="s">
        <v>306</v>
      </c>
      <c r="F62" s="1" t="s">
        <v>29</v>
      </c>
      <c r="H62" s="6">
        <f>countif(Survey!$E$2:$E$57,E62)</f>
        <v>1</v>
      </c>
      <c r="I62" s="2" t="s">
        <v>1579</v>
      </c>
    </row>
    <row r="63">
      <c r="A63" s="20" t="s">
        <v>1130</v>
      </c>
      <c r="B63" s="20" t="s">
        <v>1076</v>
      </c>
      <c r="C63" s="21">
        <v>2024.0</v>
      </c>
      <c r="D63" s="21">
        <v>20.0</v>
      </c>
      <c r="E63" s="22" t="s">
        <v>1134</v>
      </c>
      <c r="F63" s="51" t="s">
        <v>58</v>
      </c>
      <c r="G63" s="24"/>
      <c r="H63" s="24">
        <f>countif(Survey!$E$2:$E$57,E63)</f>
        <v>0</v>
      </c>
      <c r="I63" s="20" t="s">
        <v>1144</v>
      </c>
    </row>
    <row r="64">
      <c r="A64" s="2" t="s">
        <v>1103</v>
      </c>
      <c r="B64" s="2" t="s">
        <v>1107</v>
      </c>
      <c r="C64" s="7">
        <v>2024.0</v>
      </c>
      <c r="D64" s="7">
        <v>22.0</v>
      </c>
      <c r="E64" s="9" t="s">
        <v>1110</v>
      </c>
      <c r="F64" s="1" t="s">
        <v>43</v>
      </c>
      <c r="G64" s="1" t="s">
        <v>63</v>
      </c>
      <c r="H64" s="6">
        <f>countif(Survey!$E$2:$E$57,E64)</f>
        <v>0</v>
      </c>
      <c r="I64" s="2" t="s">
        <v>1111</v>
      </c>
    </row>
    <row r="65">
      <c r="A65" s="2" t="s">
        <v>1329</v>
      </c>
      <c r="B65" s="2"/>
      <c r="C65" s="7">
        <v>2024.0</v>
      </c>
      <c r="D65" s="7">
        <v>0.0</v>
      </c>
      <c r="E65" s="9" t="s">
        <v>1334</v>
      </c>
      <c r="F65" s="1" t="s">
        <v>43</v>
      </c>
      <c r="G65" s="1" t="s">
        <v>63</v>
      </c>
      <c r="H65" s="6">
        <f>countif(Survey!$E$2:$E$57,E65)</f>
        <v>0</v>
      </c>
      <c r="I65" s="2" t="s">
        <v>1335</v>
      </c>
    </row>
    <row r="66">
      <c r="A66" s="2" t="s">
        <v>1234</v>
      </c>
      <c r="B66" s="2" t="s">
        <v>1237</v>
      </c>
      <c r="C66" s="7">
        <v>2024.0</v>
      </c>
      <c r="D66" s="7">
        <v>14.0</v>
      </c>
      <c r="E66" s="9" t="s">
        <v>1240</v>
      </c>
      <c r="F66" s="1" t="s">
        <v>39</v>
      </c>
      <c r="H66" s="6">
        <f>countif(Survey!$E$2:$E$57,E66)</f>
        <v>0</v>
      </c>
      <c r="I66" s="2" t="s">
        <v>1242</v>
      </c>
    </row>
    <row r="67">
      <c r="A67" s="20" t="s">
        <v>1246</v>
      </c>
      <c r="B67" s="20" t="s">
        <v>1249</v>
      </c>
      <c r="C67" s="21">
        <v>2024.0</v>
      </c>
      <c r="D67" s="21">
        <v>5.0</v>
      </c>
      <c r="E67" s="22" t="s">
        <v>1252</v>
      </c>
      <c r="F67" s="51" t="s">
        <v>58</v>
      </c>
      <c r="G67" s="24"/>
      <c r="H67" s="24">
        <f>countif(Survey!$E$2:$E$57,E67)</f>
        <v>0</v>
      </c>
      <c r="I67" s="20" t="s">
        <v>1253</v>
      </c>
    </row>
    <row r="68">
      <c r="A68" s="2" t="s">
        <v>1298</v>
      </c>
      <c r="B68" s="2" t="s">
        <v>1301</v>
      </c>
      <c r="C68" s="7">
        <v>2024.0</v>
      </c>
      <c r="D68" s="7">
        <v>2.0</v>
      </c>
      <c r="E68" s="9" t="s">
        <v>1303</v>
      </c>
      <c r="F68" s="1" t="s">
        <v>43</v>
      </c>
      <c r="G68" s="1" t="s">
        <v>63</v>
      </c>
      <c r="H68" s="6">
        <f>countif(Survey!$E$2:$E$57,E68)</f>
        <v>0</v>
      </c>
      <c r="I68" s="2" t="s">
        <v>1307</v>
      </c>
    </row>
    <row r="69">
      <c r="A69" s="20" t="s">
        <v>1352</v>
      </c>
      <c r="B69" s="20" t="s">
        <v>1355</v>
      </c>
      <c r="C69" s="21">
        <v>2024.0</v>
      </c>
      <c r="D69" s="21">
        <v>4.0</v>
      </c>
      <c r="E69" s="22" t="s">
        <v>1357</v>
      </c>
      <c r="F69" s="23" t="s">
        <v>43</v>
      </c>
      <c r="G69" s="23" t="s">
        <v>63</v>
      </c>
      <c r="H69" s="24">
        <f>countif(Survey!$E$2:$E$57,E69)</f>
        <v>0</v>
      </c>
      <c r="I69" s="20" t="s">
        <v>1360</v>
      </c>
    </row>
    <row r="70">
      <c r="A70" s="2" t="s">
        <v>1213</v>
      </c>
      <c r="B70" s="2" t="s">
        <v>872</v>
      </c>
      <c r="C70" s="7">
        <v>2024.0</v>
      </c>
      <c r="D70" s="7">
        <v>17.0</v>
      </c>
      <c r="E70" s="9" t="s">
        <v>1219</v>
      </c>
      <c r="F70" s="1" t="s">
        <v>37</v>
      </c>
      <c r="H70" s="6">
        <f>countif(Survey!$E$2:$E$57,E70)</f>
        <v>0</v>
      </c>
      <c r="I70" s="2" t="s">
        <v>1220</v>
      </c>
    </row>
    <row r="71">
      <c r="A71" s="2" t="s">
        <v>1118</v>
      </c>
      <c r="B71" s="2" t="s">
        <v>1122</v>
      </c>
      <c r="C71" s="7">
        <v>2024.0</v>
      </c>
      <c r="D71" s="7">
        <v>0.0</v>
      </c>
      <c r="E71" s="9" t="s">
        <v>1126</v>
      </c>
      <c r="F71" s="1" t="s">
        <v>41</v>
      </c>
      <c r="H71" s="6">
        <f>countif(Survey!$E$2:$E$57,E71)</f>
        <v>0</v>
      </c>
      <c r="I71" s="2" t="s">
        <v>1127</v>
      </c>
    </row>
    <row r="72">
      <c r="A72" s="2" t="s">
        <v>1524</v>
      </c>
      <c r="B72" s="2" t="s">
        <v>66</v>
      </c>
      <c r="C72" s="7">
        <v>2024.0</v>
      </c>
      <c r="D72" s="7">
        <v>0.0</v>
      </c>
      <c r="E72" s="9" t="s">
        <v>1533</v>
      </c>
      <c r="F72" s="1" t="s">
        <v>43</v>
      </c>
      <c r="G72" s="1" t="s">
        <v>63</v>
      </c>
      <c r="H72" s="6">
        <f>countif(Survey!$E$2:$E$57,E72)</f>
        <v>0</v>
      </c>
      <c r="I72" s="2" t="s">
        <v>1547</v>
      </c>
    </row>
    <row r="73">
      <c r="A73" s="2" t="s">
        <v>1364</v>
      </c>
      <c r="B73" s="2" t="s">
        <v>1367</v>
      </c>
      <c r="C73" s="7">
        <v>2024.0</v>
      </c>
      <c r="D73" s="7">
        <v>0.0</v>
      </c>
      <c r="E73" s="9" t="s">
        <v>1369</v>
      </c>
      <c r="F73" s="1" t="s">
        <v>39</v>
      </c>
      <c r="H73" s="6">
        <f>countif(Survey!$E$2:$E$57,E73)</f>
        <v>0</v>
      </c>
      <c r="I73" s="2" t="s">
        <v>1371</v>
      </c>
    </row>
    <row r="74">
      <c r="A74" s="2" t="s">
        <v>1281</v>
      </c>
      <c r="B74" s="2" t="s">
        <v>1284</v>
      </c>
      <c r="C74" s="7">
        <v>2024.0</v>
      </c>
      <c r="D74" s="7">
        <v>0.0</v>
      </c>
      <c r="E74" s="9" t="s">
        <v>1287</v>
      </c>
      <c r="F74" s="1" t="s">
        <v>43</v>
      </c>
      <c r="G74" s="1" t="s">
        <v>63</v>
      </c>
      <c r="H74" s="6">
        <f>countif(Survey!$E$2:$E$57,E74)</f>
        <v>0</v>
      </c>
      <c r="I74" s="2" t="s">
        <v>1290</v>
      </c>
    </row>
    <row r="75">
      <c r="A75" s="2" t="s">
        <v>1478</v>
      </c>
      <c r="B75" s="2" t="s">
        <v>1482</v>
      </c>
      <c r="C75" s="7">
        <v>2024.0</v>
      </c>
      <c r="D75" s="7">
        <v>1.0</v>
      </c>
      <c r="E75" s="9" t="s">
        <v>1487</v>
      </c>
      <c r="F75" s="1" t="s">
        <v>43</v>
      </c>
      <c r="G75" s="1" t="s">
        <v>63</v>
      </c>
      <c r="H75" s="6">
        <f>countif(Survey!$E$2:$E$57,E75)</f>
        <v>0</v>
      </c>
      <c r="I75" s="2" t="s">
        <v>1496</v>
      </c>
    </row>
    <row r="76">
      <c r="A76" s="2" t="s">
        <v>1437</v>
      </c>
      <c r="B76" s="2" t="s">
        <v>1440</v>
      </c>
      <c r="C76" s="7">
        <v>2024.0</v>
      </c>
      <c r="D76" s="7">
        <v>2.0</v>
      </c>
      <c r="E76" s="9" t="s">
        <v>1442</v>
      </c>
      <c r="F76" s="1" t="s">
        <v>39</v>
      </c>
      <c r="H76" s="6">
        <f>countif(Survey!$E$2:$E$57,E76)</f>
        <v>0</v>
      </c>
      <c r="I76" s="2" t="s">
        <v>1453</v>
      </c>
    </row>
    <row r="77">
      <c r="A77" s="2" t="s">
        <v>1594</v>
      </c>
      <c r="B77" s="2" t="s">
        <v>1597</v>
      </c>
      <c r="C77" s="7">
        <v>2024.0</v>
      </c>
      <c r="D77" s="7">
        <v>0.0</v>
      </c>
      <c r="E77" s="9" t="s">
        <v>1599</v>
      </c>
      <c r="F77" s="1" t="s">
        <v>43</v>
      </c>
      <c r="G77" s="1" t="s">
        <v>63</v>
      </c>
      <c r="H77" s="6">
        <f>countif(Survey!$E$2:$E$57,E77)</f>
        <v>0</v>
      </c>
      <c r="I77" s="2" t="s">
        <v>1601</v>
      </c>
    </row>
    <row r="78">
      <c r="A78" s="2" t="s">
        <v>1584</v>
      </c>
      <c r="B78" s="2" t="s">
        <v>1587</v>
      </c>
      <c r="C78" s="7">
        <v>2024.0</v>
      </c>
      <c r="D78" s="7">
        <v>0.0</v>
      </c>
      <c r="E78" s="9" t="s">
        <v>1589</v>
      </c>
      <c r="F78" s="1" t="s">
        <v>43</v>
      </c>
      <c r="G78" s="1" t="s">
        <v>63</v>
      </c>
      <c r="H78" s="6">
        <f>countif(Survey!$E$2:$E$57,E78)</f>
        <v>0</v>
      </c>
      <c r="I78" s="2" t="s">
        <v>1590</v>
      </c>
    </row>
    <row r="79">
      <c r="A79" s="2" t="s">
        <v>1501</v>
      </c>
      <c r="B79" s="2" t="s">
        <v>1168</v>
      </c>
      <c r="C79" s="7">
        <v>2024.0</v>
      </c>
      <c r="D79" s="7">
        <v>4.0</v>
      </c>
      <c r="E79" s="9" t="s">
        <v>1508</v>
      </c>
      <c r="F79" s="1" t="s">
        <v>43</v>
      </c>
      <c r="G79" s="1" t="s">
        <v>63</v>
      </c>
      <c r="H79" s="6">
        <f>countif(Survey!$E$2:$E$57,E79)</f>
        <v>0</v>
      </c>
      <c r="I79" s="2" t="s">
        <v>1519</v>
      </c>
    </row>
    <row r="80">
      <c r="A80" s="54" t="s">
        <v>1089</v>
      </c>
      <c r="B80" s="54" t="s">
        <v>1093</v>
      </c>
      <c r="C80" s="55">
        <v>2024.0</v>
      </c>
      <c r="D80" s="55">
        <v>7.0</v>
      </c>
      <c r="E80" s="56" t="s">
        <v>1096</v>
      </c>
      <c r="F80" s="51" t="s">
        <v>58</v>
      </c>
      <c r="G80" s="57"/>
      <c r="H80" s="57">
        <f>countif(Survey!$E$2:$E$57,E80)</f>
        <v>0</v>
      </c>
      <c r="I80" s="54" t="s">
        <v>1098</v>
      </c>
    </row>
    <row r="81">
      <c r="A81" s="2" t="s">
        <v>1340</v>
      </c>
      <c r="B81" s="2" t="s">
        <v>1343</v>
      </c>
      <c r="C81" s="7">
        <v>2024.0</v>
      </c>
      <c r="D81" s="7">
        <v>2.0</v>
      </c>
      <c r="E81" s="9" t="s">
        <v>1346</v>
      </c>
      <c r="F81" s="1" t="s">
        <v>43</v>
      </c>
      <c r="G81" s="1" t="s">
        <v>63</v>
      </c>
      <c r="H81" s="6">
        <f>countif(Survey!$E$2:$E$57,E81)</f>
        <v>0</v>
      </c>
      <c r="I81" s="2" t="s">
        <v>1348</v>
      </c>
    </row>
    <row r="82">
      <c r="A82" s="2" t="s">
        <v>1271</v>
      </c>
      <c r="B82" s="2" t="s">
        <v>1274</v>
      </c>
      <c r="C82" s="7">
        <v>2024.0</v>
      </c>
      <c r="D82" s="7">
        <v>1.0</v>
      </c>
      <c r="E82" s="9" t="s">
        <v>1276</v>
      </c>
      <c r="F82" s="1" t="s">
        <v>43</v>
      </c>
      <c r="G82" s="1" t="s">
        <v>63</v>
      </c>
      <c r="H82" s="6">
        <f>countif(Survey!$E$2:$E$57,E82)</f>
        <v>0</v>
      </c>
      <c r="I82" s="2" t="s">
        <v>1277</v>
      </c>
    </row>
    <row r="83">
      <c r="A83" s="2" t="s">
        <v>1574</v>
      </c>
      <c r="B83" s="2" t="s">
        <v>1576</v>
      </c>
      <c r="C83" s="7">
        <v>2024.0</v>
      </c>
      <c r="D83" s="7">
        <v>0.0</v>
      </c>
      <c r="E83" s="9" t="s">
        <v>1578</v>
      </c>
      <c r="F83" s="1" t="s">
        <v>43</v>
      </c>
      <c r="G83" s="1" t="s">
        <v>63</v>
      </c>
      <c r="H83" s="6">
        <f>countif(Survey!$E$2:$E$57,E83)</f>
        <v>0</v>
      </c>
      <c r="I83" s="2" t="s">
        <v>1580</v>
      </c>
    </row>
    <row r="84">
      <c r="A84" s="2" t="s">
        <v>1173</v>
      </c>
      <c r="B84" s="2" t="s">
        <v>1176</v>
      </c>
      <c r="C84" s="7">
        <v>2024.0</v>
      </c>
      <c r="D84" s="7">
        <v>3.0</v>
      </c>
      <c r="E84" s="9" t="s">
        <v>1178</v>
      </c>
      <c r="F84" s="1" t="s">
        <v>43</v>
      </c>
      <c r="G84" s="1" t="s">
        <v>63</v>
      </c>
      <c r="H84" s="6">
        <f>countif(Survey!$E$2:$E$57,E84)</f>
        <v>0</v>
      </c>
      <c r="I84" s="2" t="s">
        <v>1187</v>
      </c>
    </row>
    <row r="85">
      <c r="A85" s="2" t="s">
        <v>1148</v>
      </c>
      <c r="B85" s="2" t="s">
        <v>1151</v>
      </c>
      <c r="C85" s="7">
        <v>2024.0</v>
      </c>
      <c r="D85" s="7">
        <v>9.0</v>
      </c>
      <c r="E85" s="9" t="s">
        <v>1156</v>
      </c>
      <c r="F85" s="1" t="s">
        <v>39</v>
      </c>
      <c r="H85" s="6">
        <f>countif(Survey!$E$2:$E$57,E85)</f>
        <v>0</v>
      </c>
      <c r="I85" s="2" t="s">
        <v>1158</v>
      </c>
    </row>
    <row r="86">
      <c r="A86" s="2" t="s">
        <v>1316</v>
      </c>
      <c r="B86" s="2" t="s">
        <v>1319</v>
      </c>
      <c r="C86" s="7">
        <v>2024.0</v>
      </c>
      <c r="D86" s="7">
        <v>6.0</v>
      </c>
      <c r="E86" s="9" t="s">
        <v>1322</v>
      </c>
      <c r="F86" s="1" t="s">
        <v>43</v>
      </c>
      <c r="G86" s="1" t="s">
        <v>63</v>
      </c>
      <c r="H86" s="6">
        <f>countif(Survey!$E$2:$E$57,E86)</f>
        <v>0</v>
      </c>
      <c r="I86" s="2" t="s">
        <v>1325</v>
      </c>
    </row>
    <row r="87">
      <c r="A87" s="2" t="s">
        <v>1419</v>
      </c>
      <c r="B87" s="2" t="s">
        <v>1423</v>
      </c>
      <c r="C87" s="7">
        <v>2024.0</v>
      </c>
      <c r="D87" s="7">
        <v>2.0</v>
      </c>
      <c r="E87" s="9" t="s">
        <v>1429</v>
      </c>
      <c r="F87" s="1" t="s">
        <v>58</v>
      </c>
      <c r="G87" s="51" t="s">
        <v>1823</v>
      </c>
      <c r="H87" s="6">
        <f>countif(Survey!$E$2:$E$57,E87)</f>
        <v>0</v>
      </c>
      <c r="I87" s="2" t="s">
        <v>1434</v>
      </c>
    </row>
    <row r="88">
      <c r="A88" s="2" t="s">
        <v>1460</v>
      </c>
      <c r="B88" s="2" t="s">
        <v>1463</v>
      </c>
      <c r="C88" s="7">
        <v>2024.0</v>
      </c>
      <c r="D88" s="7">
        <v>1.0</v>
      </c>
      <c r="E88" s="9" t="s">
        <v>1466</v>
      </c>
      <c r="F88" s="1" t="s">
        <v>43</v>
      </c>
      <c r="G88" s="1" t="s">
        <v>63</v>
      </c>
      <c r="H88" s="6">
        <f>countif(Survey!$E$2:$E$57,E88)</f>
        <v>0</v>
      </c>
      <c r="I88" s="2" t="s">
        <v>1474</v>
      </c>
    </row>
    <row r="89">
      <c r="A89" s="8"/>
      <c r="B89" s="2" t="s">
        <v>625</v>
      </c>
      <c r="C89" s="7">
        <v>2024.0</v>
      </c>
      <c r="D89" s="7">
        <v>0.0</v>
      </c>
      <c r="E89" s="9" t="s">
        <v>1376</v>
      </c>
      <c r="F89" s="1" t="s">
        <v>29</v>
      </c>
      <c r="H89" s="6">
        <f>countif(Survey!$E$2:$E$57,E89)</f>
        <v>0</v>
      </c>
      <c r="I89" s="2" t="s">
        <v>631</v>
      </c>
    </row>
    <row r="90">
      <c r="A90" s="8"/>
      <c r="B90" s="2" t="s">
        <v>625</v>
      </c>
      <c r="C90" s="7">
        <v>2024.0</v>
      </c>
      <c r="D90" s="7">
        <v>0.0</v>
      </c>
      <c r="E90" s="9" t="s">
        <v>1382</v>
      </c>
      <c r="F90" s="1" t="s">
        <v>29</v>
      </c>
      <c r="H90" s="6">
        <f>countif(Survey!$E$2:$E$57,E90)</f>
        <v>0</v>
      </c>
      <c r="I90" s="2" t="s">
        <v>631</v>
      </c>
    </row>
    <row r="91">
      <c r="A91" s="8"/>
      <c r="B91" s="2" t="s">
        <v>625</v>
      </c>
      <c r="C91" s="7">
        <v>2024.0</v>
      </c>
      <c r="D91" s="7">
        <v>0.0</v>
      </c>
      <c r="E91" s="9" t="s">
        <v>1385</v>
      </c>
      <c r="F91" s="1" t="s">
        <v>29</v>
      </c>
      <c r="H91" s="6">
        <f>countif(Survey!$E$2:$E$57,E91)</f>
        <v>0</v>
      </c>
      <c r="I91" s="2" t="s">
        <v>631</v>
      </c>
    </row>
    <row r="92">
      <c r="A92" s="8"/>
      <c r="B92" s="2" t="s">
        <v>625</v>
      </c>
      <c r="C92" s="7">
        <v>2024.0</v>
      </c>
      <c r="D92" s="7">
        <v>0.0</v>
      </c>
      <c r="E92" s="9" t="s">
        <v>1389</v>
      </c>
      <c r="F92" s="1" t="s">
        <v>29</v>
      </c>
      <c r="H92" s="6">
        <f>countif(Survey!$E$2:$E$57,E92)</f>
        <v>0</v>
      </c>
      <c r="I92" s="2" t="s">
        <v>631</v>
      </c>
    </row>
    <row r="93">
      <c r="A93" s="8"/>
      <c r="B93" s="2" t="s">
        <v>1311</v>
      </c>
      <c r="C93" s="7">
        <v>2024.0</v>
      </c>
      <c r="D93" s="7">
        <v>0.0</v>
      </c>
      <c r="E93" s="9" t="s">
        <v>1313</v>
      </c>
      <c r="F93" s="1" t="s">
        <v>29</v>
      </c>
      <c r="H93" s="6">
        <f>countif(Survey!$E$2:$E$57,E93)</f>
        <v>0</v>
      </c>
      <c r="I93" s="2" t="s">
        <v>1314</v>
      </c>
    </row>
    <row r="94">
      <c r="A94" s="8"/>
      <c r="B94" s="2" t="s">
        <v>1294</v>
      </c>
      <c r="C94" s="7">
        <v>2024.0</v>
      </c>
      <c r="D94" s="7">
        <v>0.0</v>
      </c>
      <c r="E94" s="9" t="s">
        <v>1295</v>
      </c>
      <c r="F94" s="1" t="s">
        <v>29</v>
      </c>
      <c r="H94" s="6">
        <f>countif(Survey!$E$2:$E$57,E94)</f>
        <v>0</v>
      </c>
      <c r="I94" s="2" t="s">
        <v>1296</v>
      </c>
    </row>
    <row r="95">
      <c r="A95" s="8"/>
      <c r="B95" s="2" t="s">
        <v>1404</v>
      </c>
      <c r="C95" s="7">
        <v>2024.0</v>
      </c>
      <c r="D95" s="7">
        <v>0.0</v>
      </c>
      <c r="E95" s="9" t="s">
        <v>1409</v>
      </c>
      <c r="F95" s="1" t="s">
        <v>29</v>
      </c>
      <c r="H95" s="6">
        <f>countif(Survey!$E$2:$E$57,E95)</f>
        <v>0</v>
      </c>
      <c r="I95" s="2" t="s">
        <v>1417</v>
      </c>
    </row>
    <row r="96">
      <c r="A96" s="2" t="s">
        <v>767</v>
      </c>
      <c r="B96" s="2" t="s">
        <v>770</v>
      </c>
      <c r="C96" s="7">
        <v>2025.0</v>
      </c>
      <c r="D96" s="7">
        <v>0.0</v>
      </c>
      <c r="E96" s="9" t="s">
        <v>772</v>
      </c>
      <c r="F96" s="1" t="s">
        <v>39</v>
      </c>
      <c r="G96" s="51" t="s">
        <v>37</v>
      </c>
      <c r="H96" s="6">
        <f>countif(Survey!$E$2:$E$57,E96)</f>
        <v>0</v>
      </c>
      <c r="I96" s="2" t="s">
        <v>782</v>
      </c>
    </row>
    <row r="97">
      <c r="A97" s="2" t="s">
        <v>734</v>
      </c>
      <c r="B97" s="2" t="s">
        <v>738</v>
      </c>
      <c r="C97" s="7">
        <v>2025.0</v>
      </c>
      <c r="D97" s="7">
        <v>0.0</v>
      </c>
      <c r="E97" s="9" t="s">
        <v>743</v>
      </c>
      <c r="F97" s="1" t="s">
        <v>43</v>
      </c>
      <c r="G97" s="1" t="s">
        <v>63</v>
      </c>
      <c r="H97" s="6">
        <f>countif(Survey!$E$2:$E$57,E97)</f>
        <v>0</v>
      </c>
      <c r="I97" s="2" t="s">
        <v>760</v>
      </c>
    </row>
    <row r="98">
      <c r="A98" s="20" t="s">
        <v>913</v>
      </c>
      <c r="B98" s="20" t="s">
        <v>917</v>
      </c>
      <c r="C98" s="21">
        <v>2025.0</v>
      </c>
      <c r="D98" s="21">
        <v>0.0</v>
      </c>
      <c r="E98" s="22" t="s">
        <v>919</v>
      </c>
      <c r="F98" s="23" t="s">
        <v>43</v>
      </c>
      <c r="G98" s="23" t="s">
        <v>63</v>
      </c>
      <c r="H98" s="24">
        <f>countif(Survey!$E$2:$E$57,E98)</f>
        <v>0</v>
      </c>
      <c r="I98" s="20" t="s">
        <v>923</v>
      </c>
    </row>
    <row r="99">
      <c r="A99" s="2" t="s">
        <v>557</v>
      </c>
      <c r="B99" s="2" t="s">
        <v>560</v>
      </c>
      <c r="C99" s="7">
        <v>2025.0</v>
      </c>
      <c r="D99" s="7">
        <v>2.0</v>
      </c>
      <c r="E99" s="9" t="s">
        <v>563</v>
      </c>
      <c r="F99" s="1" t="s">
        <v>39</v>
      </c>
      <c r="H99" s="6">
        <f>countif(Survey!$E$2:$E$57,E99)</f>
        <v>0</v>
      </c>
      <c r="I99" s="2" t="s">
        <v>564</v>
      </c>
    </row>
    <row r="100">
      <c r="A100" s="2" t="s">
        <v>633</v>
      </c>
      <c r="B100" s="2" t="s">
        <v>498</v>
      </c>
      <c r="C100" s="7">
        <v>2025.0</v>
      </c>
      <c r="D100" s="7">
        <v>1.0</v>
      </c>
      <c r="E100" s="9" t="s">
        <v>638</v>
      </c>
      <c r="F100" s="1" t="s">
        <v>37</v>
      </c>
      <c r="H100" s="6">
        <f>countif(Survey!$E$2:$E$57,E100)</f>
        <v>0</v>
      </c>
      <c r="I100" s="2" t="s">
        <v>644</v>
      </c>
    </row>
    <row r="101">
      <c r="A101" s="67" t="s">
        <v>187</v>
      </c>
      <c r="B101" s="67" t="s">
        <v>190</v>
      </c>
      <c r="C101" s="68">
        <v>2025.0</v>
      </c>
      <c r="D101" s="68">
        <v>0.0</v>
      </c>
      <c r="E101" s="70" t="s">
        <v>193</v>
      </c>
      <c r="F101" s="71" t="s">
        <v>39</v>
      </c>
      <c r="G101" s="72"/>
      <c r="H101" s="72">
        <f>countif(Survey!$E$2:$E$57,E101)</f>
        <v>0</v>
      </c>
      <c r="I101" s="67" t="s">
        <v>197</v>
      </c>
    </row>
    <row r="102">
      <c r="A102" s="2" t="s">
        <v>538</v>
      </c>
      <c r="B102" s="2" t="s">
        <v>542</v>
      </c>
      <c r="C102" s="7">
        <v>2025.0</v>
      </c>
      <c r="D102" s="7">
        <v>2.0</v>
      </c>
      <c r="E102" s="9" t="s">
        <v>547</v>
      </c>
      <c r="F102" s="1" t="s">
        <v>43</v>
      </c>
      <c r="G102" s="1" t="s">
        <v>63</v>
      </c>
      <c r="H102" s="6">
        <f>countif(Survey!$E$2:$E$57,E102)</f>
        <v>0</v>
      </c>
      <c r="I102" s="2" t="s">
        <v>551</v>
      </c>
    </row>
    <row r="103">
      <c r="A103" s="2" t="s">
        <v>1033</v>
      </c>
      <c r="B103" s="2" t="s">
        <v>1036</v>
      </c>
      <c r="C103" s="7">
        <v>2025.0</v>
      </c>
      <c r="D103" s="7">
        <v>0.0</v>
      </c>
      <c r="E103" s="9" t="s">
        <v>1040</v>
      </c>
      <c r="F103" s="1" t="s">
        <v>43</v>
      </c>
      <c r="G103" s="1" t="s">
        <v>63</v>
      </c>
      <c r="H103" s="6">
        <f>countif(Survey!$E$2:$E$57,E103)</f>
        <v>0</v>
      </c>
      <c r="I103" s="2" t="s">
        <v>1041</v>
      </c>
    </row>
    <row r="104">
      <c r="A104" s="2" t="s">
        <v>955</v>
      </c>
      <c r="B104" s="2" t="s">
        <v>958</v>
      </c>
      <c r="C104" s="7">
        <v>2025.0</v>
      </c>
      <c r="D104" s="7">
        <v>0.0</v>
      </c>
      <c r="E104" s="9" t="s">
        <v>964</v>
      </c>
      <c r="F104" s="1" t="s">
        <v>43</v>
      </c>
      <c r="G104" s="1" t="s">
        <v>63</v>
      </c>
      <c r="H104" s="6">
        <f>countif(Survey!$E$2:$E$57,E104)</f>
        <v>0</v>
      </c>
      <c r="I104" s="2" t="s">
        <v>965</v>
      </c>
    </row>
    <row r="105">
      <c r="A105" s="2" t="s">
        <v>845</v>
      </c>
      <c r="B105" s="2" t="s">
        <v>849</v>
      </c>
      <c r="C105" s="7">
        <v>2025.0</v>
      </c>
      <c r="D105" s="7">
        <v>0.0</v>
      </c>
      <c r="E105" s="9" t="s">
        <v>852</v>
      </c>
      <c r="F105" s="1" t="s">
        <v>43</v>
      </c>
      <c r="G105" s="1" t="s">
        <v>63</v>
      </c>
      <c r="H105" s="6">
        <f>countif(Survey!$E$2:$E$57,E105)</f>
        <v>0</v>
      </c>
      <c r="I105" s="2" t="s">
        <v>856</v>
      </c>
    </row>
    <row r="106">
      <c r="A106" s="8"/>
      <c r="B106" s="2" t="s">
        <v>478</v>
      </c>
      <c r="C106" s="7">
        <v>2025.0</v>
      </c>
      <c r="D106" s="7">
        <v>0.0</v>
      </c>
      <c r="E106" s="9" t="s">
        <v>481</v>
      </c>
      <c r="F106" s="1" t="s">
        <v>29</v>
      </c>
      <c r="H106" s="6">
        <f>countif(Survey!$E$2:$E$57,E106)</f>
        <v>0</v>
      </c>
      <c r="I106" s="2" t="s">
        <v>484</v>
      </c>
    </row>
    <row r="107">
      <c r="A107" s="2" t="s">
        <v>508</v>
      </c>
      <c r="B107" s="2" t="s">
        <v>511</v>
      </c>
      <c r="C107" s="7">
        <v>2025.0</v>
      </c>
      <c r="D107" s="7">
        <v>0.0</v>
      </c>
      <c r="E107" s="9" t="s">
        <v>514</v>
      </c>
      <c r="F107" s="1" t="s">
        <v>43</v>
      </c>
      <c r="G107" s="1" t="s">
        <v>63</v>
      </c>
      <c r="H107" s="6">
        <f>countif(Survey!$E$2:$E$57,E107)</f>
        <v>0</v>
      </c>
      <c r="I107" s="2" t="s">
        <v>518</v>
      </c>
    </row>
    <row r="108">
      <c r="A108" s="2" t="s">
        <v>648</v>
      </c>
      <c r="B108" s="2" t="s">
        <v>651</v>
      </c>
      <c r="C108" s="7">
        <v>2025.0</v>
      </c>
      <c r="D108" s="7">
        <v>0.0</v>
      </c>
      <c r="E108" s="9" t="s">
        <v>654</v>
      </c>
      <c r="F108" s="1" t="s">
        <v>58</v>
      </c>
      <c r="G108" s="51" t="s">
        <v>1823</v>
      </c>
      <c r="H108" s="6">
        <f>countif(Survey!$E$2:$E$57,E108)</f>
        <v>0</v>
      </c>
      <c r="I108" s="2" t="s">
        <v>658</v>
      </c>
    </row>
    <row r="109">
      <c r="A109" s="2" t="s">
        <v>678</v>
      </c>
      <c r="B109" s="2" t="s">
        <v>684</v>
      </c>
      <c r="C109" s="7">
        <v>2025.0</v>
      </c>
      <c r="D109" s="7">
        <v>0.0</v>
      </c>
      <c r="E109" s="9" t="s">
        <v>688</v>
      </c>
      <c r="F109" s="1" t="s">
        <v>43</v>
      </c>
      <c r="G109" s="1" t="s">
        <v>63</v>
      </c>
      <c r="H109" s="6">
        <f>countif(Survey!$E$2:$E$57,E109)</f>
        <v>0</v>
      </c>
      <c r="I109" s="2" t="s">
        <v>700</v>
      </c>
    </row>
    <row r="110">
      <c r="A110" s="2" t="s">
        <v>1001</v>
      </c>
      <c r="B110" s="2" t="s">
        <v>1004</v>
      </c>
      <c r="C110" s="7">
        <v>2025.0</v>
      </c>
      <c r="D110" s="7">
        <v>0.0</v>
      </c>
      <c r="E110" s="9" t="s">
        <v>1007</v>
      </c>
      <c r="F110" s="1" t="s">
        <v>43</v>
      </c>
      <c r="G110" s="1" t="s">
        <v>63</v>
      </c>
      <c r="H110" s="6">
        <f>countif(Survey!$E$2:$E$57,E110)</f>
        <v>0</v>
      </c>
      <c r="I110" s="2" t="s">
        <v>1010</v>
      </c>
    </row>
    <row r="111">
      <c r="A111" s="54" t="s">
        <v>786</v>
      </c>
      <c r="B111" s="54" t="s">
        <v>792</v>
      </c>
      <c r="C111" s="55">
        <v>2025.0</v>
      </c>
      <c r="D111" s="55">
        <v>0.0</v>
      </c>
      <c r="E111" s="56" t="s">
        <v>797</v>
      </c>
      <c r="F111" s="51" t="s">
        <v>39</v>
      </c>
      <c r="G111" s="57"/>
      <c r="H111" s="57">
        <f>countif(Survey!$E$2:$E$57,E111)</f>
        <v>0</v>
      </c>
      <c r="I111" s="54" t="s">
        <v>811</v>
      </c>
    </row>
    <row r="112">
      <c r="A112" s="2" t="s">
        <v>201</v>
      </c>
      <c r="B112" s="2" t="s">
        <v>204</v>
      </c>
      <c r="C112" s="7">
        <v>2025.0</v>
      </c>
      <c r="D112" s="7">
        <v>0.0</v>
      </c>
      <c r="E112" s="9" t="s">
        <v>207</v>
      </c>
      <c r="F112" s="1" t="s">
        <v>58</v>
      </c>
      <c r="G112" s="51" t="s">
        <v>1823</v>
      </c>
      <c r="H112" s="6">
        <f>countif(Survey!$E$2:$E$57,E112)</f>
        <v>0</v>
      </c>
      <c r="I112" s="2" t="s">
        <v>214</v>
      </c>
    </row>
    <row r="113">
      <c r="A113" s="2" t="s">
        <v>569</v>
      </c>
      <c r="B113" s="2" t="s">
        <v>572</v>
      </c>
      <c r="C113" s="7">
        <v>2025.0</v>
      </c>
      <c r="D113" s="7">
        <v>4.0</v>
      </c>
      <c r="E113" s="9" t="s">
        <v>576</v>
      </c>
      <c r="F113" s="1" t="s">
        <v>43</v>
      </c>
      <c r="G113" s="1" t="s">
        <v>63</v>
      </c>
      <c r="H113" s="6">
        <f>countif(Survey!$E$2:$E$57,E113)</f>
        <v>0</v>
      </c>
      <c r="I113" s="2" t="s">
        <v>579</v>
      </c>
    </row>
    <row r="114">
      <c r="A114" s="2" t="s">
        <v>233</v>
      </c>
      <c r="B114" s="2" t="s">
        <v>236</v>
      </c>
      <c r="C114" s="7">
        <v>2025.0</v>
      </c>
      <c r="D114" s="7">
        <v>0.0</v>
      </c>
      <c r="E114" s="9" t="s">
        <v>239</v>
      </c>
      <c r="F114" s="1" t="s">
        <v>43</v>
      </c>
      <c r="G114" s="1" t="s">
        <v>63</v>
      </c>
      <c r="H114" s="6">
        <f>countif(Survey!$E$2:$E$57,E114)</f>
        <v>0</v>
      </c>
      <c r="I114" s="2" t="s">
        <v>244</v>
      </c>
    </row>
    <row r="115">
      <c r="A115" s="2" t="s">
        <v>1017</v>
      </c>
      <c r="B115" s="2" t="s">
        <v>1020</v>
      </c>
      <c r="C115" s="7">
        <v>2025.0</v>
      </c>
      <c r="D115" s="7">
        <v>0.0</v>
      </c>
      <c r="E115" s="9" t="s">
        <v>1023</v>
      </c>
      <c r="F115" s="1" t="s">
        <v>43</v>
      </c>
      <c r="G115" s="1" t="s">
        <v>63</v>
      </c>
      <c r="H115" s="6">
        <f>countif(Survey!$E$2:$E$57,E115)</f>
        <v>0</v>
      </c>
      <c r="I115" s="2" t="s">
        <v>1026</v>
      </c>
    </row>
    <row r="116">
      <c r="A116" s="2" t="s">
        <v>338</v>
      </c>
      <c r="B116" s="2" t="s">
        <v>342</v>
      </c>
      <c r="C116" s="7">
        <v>2025.0</v>
      </c>
      <c r="D116" s="7">
        <v>0.0</v>
      </c>
      <c r="E116" s="9" t="s">
        <v>353</v>
      </c>
      <c r="F116" s="1" t="s">
        <v>43</v>
      </c>
      <c r="G116" s="1" t="s">
        <v>63</v>
      </c>
      <c r="H116" s="6">
        <f>countif(Survey!$E$2:$E$57,E116)</f>
        <v>0</v>
      </c>
      <c r="I116" s="2" t="s">
        <v>366</v>
      </c>
    </row>
    <row r="117">
      <c r="A117" s="2" t="s">
        <v>172</v>
      </c>
      <c r="B117" s="2" t="s">
        <v>176</v>
      </c>
      <c r="C117" s="7">
        <v>2025.0</v>
      </c>
      <c r="D117" s="7">
        <v>2.0</v>
      </c>
      <c r="E117" s="9" t="s">
        <v>179</v>
      </c>
      <c r="F117" s="1" t="s">
        <v>39</v>
      </c>
      <c r="H117" s="6">
        <f>countif(Survey!$E$2:$E$57,E117)</f>
        <v>0</v>
      </c>
      <c r="I117" s="2" t="s">
        <v>183</v>
      </c>
    </row>
    <row r="118">
      <c r="A118" s="2" t="s">
        <v>707</v>
      </c>
      <c r="B118" s="2" t="s">
        <v>711</v>
      </c>
      <c r="C118" s="7">
        <v>2025.0</v>
      </c>
      <c r="D118" s="7">
        <v>0.0</v>
      </c>
      <c r="E118" s="9" t="s">
        <v>714</v>
      </c>
      <c r="F118" s="1" t="s">
        <v>43</v>
      </c>
      <c r="G118" s="1" t="s">
        <v>63</v>
      </c>
      <c r="H118" s="6">
        <f>countif(Survey!$E$2:$E$57,E118)</f>
        <v>0</v>
      </c>
      <c r="I118" s="2" t="s">
        <v>728</v>
      </c>
    </row>
    <row r="119">
      <c r="A119" s="2" t="s">
        <v>583</v>
      </c>
      <c r="B119" s="54" t="s">
        <v>586</v>
      </c>
      <c r="C119" s="55">
        <v>2025.0</v>
      </c>
      <c r="D119" s="55">
        <v>0.0</v>
      </c>
      <c r="E119" s="56" t="s">
        <v>589</v>
      </c>
      <c r="F119" s="1" t="s">
        <v>41</v>
      </c>
      <c r="G119" s="51" t="s">
        <v>37</v>
      </c>
      <c r="H119" s="6">
        <f>countif(Survey!$E$2:$E$57,E119)</f>
        <v>0</v>
      </c>
      <c r="I119" s="2" t="s">
        <v>592</v>
      </c>
    </row>
    <row r="120">
      <c r="A120" s="2" t="s">
        <v>369</v>
      </c>
      <c r="B120" s="2" t="s">
        <v>372</v>
      </c>
      <c r="C120" s="7">
        <v>2025.0</v>
      </c>
      <c r="D120" s="7">
        <v>1.0</v>
      </c>
      <c r="E120" s="9" t="s">
        <v>378</v>
      </c>
      <c r="F120" s="1" t="s">
        <v>43</v>
      </c>
      <c r="G120" s="1" t="s">
        <v>63</v>
      </c>
      <c r="H120" s="6">
        <f>countif(Survey!$E$2:$E$57,E120)</f>
        <v>0</v>
      </c>
      <c r="I120" s="2" t="s">
        <v>379</v>
      </c>
    </row>
    <row r="121">
      <c r="A121" s="2" t="s">
        <v>384</v>
      </c>
      <c r="B121" s="2" t="s">
        <v>387</v>
      </c>
      <c r="C121" s="7">
        <v>2025.0</v>
      </c>
      <c r="D121" s="7">
        <v>1.0</v>
      </c>
      <c r="E121" s="9" t="s">
        <v>390</v>
      </c>
      <c r="F121" s="1" t="s">
        <v>43</v>
      </c>
      <c r="G121" s="1" t="s">
        <v>63</v>
      </c>
      <c r="H121" s="6">
        <f>countif(Survey!$E$2:$E$57,E121)</f>
        <v>0</v>
      </c>
      <c r="I121" s="2" t="s">
        <v>393</v>
      </c>
    </row>
    <row r="122">
      <c r="A122" s="2" t="s">
        <v>281</v>
      </c>
      <c r="B122" s="2" t="s">
        <v>284</v>
      </c>
      <c r="C122" s="7">
        <v>2025.0</v>
      </c>
      <c r="D122" s="7">
        <v>1.0</v>
      </c>
      <c r="E122" s="9" t="s">
        <v>287</v>
      </c>
      <c r="F122" s="1" t="s">
        <v>43</v>
      </c>
      <c r="G122" s="1" t="s">
        <v>63</v>
      </c>
      <c r="H122" s="6">
        <f>countif(Survey!$E$2:$E$57,E122)</f>
        <v>0</v>
      </c>
      <c r="I122" s="2" t="s">
        <v>296</v>
      </c>
    </row>
    <row r="123">
      <c r="A123" s="2" t="s">
        <v>492</v>
      </c>
      <c r="B123" s="2" t="s">
        <v>495</v>
      </c>
      <c r="C123" s="7">
        <v>2025.0</v>
      </c>
      <c r="D123" s="7">
        <v>1.0</v>
      </c>
      <c r="E123" s="9" t="s">
        <v>499</v>
      </c>
      <c r="F123" s="1" t="s">
        <v>43</v>
      </c>
      <c r="G123" s="1" t="s">
        <v>63</v>
      </c>
      <c r="H123" s="6">
        <f>countif(Survey!$E$2:$E$57,E123)</f>
        <v>0</v>
      </c>
      <c r="I123" s="2" t="s">
        <v>504</v>
      </c>
    </row>
    <row r="124">
      <c r="A124" s="2" t="s">
        <v>596</v>
      </c>
      <c r="B124" s="2" t="s">
        <v>599</v>
      </c>
      <c r="C124" s="7">
        <v>2025.0</v>
      </c>
      <c r="D124" s="7">
        <v>0.0</v>
      </c>
      <c r="E124" s="9" t="s">
        <v>602</v>
      </c>
      <c r="F124" s="1" t="s">
        <v>43</v>
      </c>
      <c r="G124" s="1" t="s">
        <v>63</v>
      </c>
      <c r="H124" s="6">
        <f>countif(Survey!$E$2:$E$57,E124)</f>
        <v>0</v>
      </c>
      <c r="I124" s="2" t="s">
        <v>605</v>
      </c>
    </row>
    <row r="125">
      <c r="A125" s="2" t="s">
        <v>218</v>
      </c>
      <c r="B125" s="2" t="s">
        <v>221</v>
      </c>
      <c r="C125" s="7">
        <v>2025.0</v>
      </c>
      <c r="D125" s="7">
        <v>1.0</v>
      </c>
      <c r="E125" s="9" t="s">
        <v>224</v>
      </c>
      <c r="F125" s="1" t="s">
        <v>43</v>
      </c>
      <c r="G125" s="1" t="s">
        <v>63</v>
      </c>
      <c r="H125" s="6">
        <f>countif(Survey!$E$2:$E$57,E125)</f>
        <v>0</v>
      </c>
      <c r="I125" s="2" t="s">
        <v>226</v>
      </c>
    </row>
    <row r="126">
      <c r="A126" s="2" t="s">
        <v>928</v>
      </c>
      <c r="B126" s="2" t="s">
        <v>931</v>
      </c>
      <c r="C126" s="7">
        <v>2025.0</v>
      </c>
      <c r="D126" s="7">
        <v>0.0</v>
      </c>
      <c r="E126" s="9" t="s">
        <v>933</v>
      </c>
      <c r="F126" s="1" t="s">
        <v>43</v>
      </c>
      <c r="G126" s="1" t="s">
        <v>63</v>
      </c>
      <c r="H126" s="6">
        <f>countif(Survey!$E$2:$E$57,E126)</f>
        <v>0</v>
      </c>
      <c r="I126" s="2" t="s">
        <v>936</v>
      </c>
    </row>
    <row r="127">
      <c r="A127" s="20" t="s">
        <v>1046</v>
      </c>
      <c r="B127" s="20" t="s">
        <v>1049</v>
      </c>
      <c r="C127" s="21">
        <v>2025.0</v>
      </c>
      <c r="D127" s="21">
        <v>0.0</v>
      </c>
      <c r="E127" s="22" t="s">
        <v>1053</v>
      </c>
      <c r="F127" s="51" t="s">
        <v>58</v>
      </c>
      <c r="G127" s="24"/>
      <c r="H127" s="24">
        <f>countif(Survey!$E$2:$E$57,E127)</f>
        <v>0</v>
      </c>
      <c r="I127" s="20" t="s">
        <v>1057</v>
      </c>
    </row>
    <row r="128">
      <c r="A128" s="67" t="s">
        <v>304</v>
      </c>
      <c r="B128" s="67" t="s">
        <v>310</v>
      </c>
      <c r="C128" s="68">
        <v>2025.0</v>
      </c>
      <c r="D128" s="68">
        <v>1.0</v>
      </c>
      <c r="E128" s="70" t="s">
        <v>314</v>
      </c>
      <c r="F128" s="71" t="s">
        <v>39</v>
      </c>
      <c r="G128" s="72"/>
      <c r="H128" s="72">
        <f>countif(Survey!$E$2:$E$57,E128)</f>
        <v>0</v>
      </c>
      <c r="I128" s="67" t="s">
        <v>329</v>
      </c>
    </row>
    <row r="129">
      <c r="A129" s="2" t="s">
        <v>986</v>
      </c>
      <c r="B129" s="54" t="s">
        <v>989</v>
      </c>
      <c r="C129" s="7">
        <v>2025.0</v>
      </c>
      <c r="D129" s="7">
        <v>0.0</v>
      </c>
      <c r="E129" s="9" t="s">
        <v>992</v>
      </c>
      <c r="F129" s="1" t="s">
        <v>39</v>
      </c>
      <c r="H129" s="6">
        <f>countif(Survey!$E$2:$E$57,E129)</f>
        <v>0</v>
      </c>
      <c r="I129" s="73" t="s">
        <v>997</v>
      </c>
    </row>
    <row r="130">
      <c r="A130" s="2" t="s">
        <v>940</v>
      </c>
      <c r="B130" s="2" t="s">
        <v>943</v>
      </c>
      <c r="C130" s="7">
        <v>2025.0</v>
      </c>
      <c r="D130" s="7">
        <v>0.0</v>
      </c>
      <c r="E130" s="9" t="s">
        <v>948</v>
      </c>
      <c r="F130" s="1" t="s">
        <v>43</v>
      </c>
      <c r="G130" s="1" t="s">
        <v>63</v>
      </c>
      <c r="H130" s="6">
        <f>countif(Survey!$E$2:$E$57,E130)</f>
        <v>0</v>
      </c>
      <c r="I130" s="2" t="s">
        <v>951</v>
      </c>
    </row>
    <row r="131">
      <c r="A131" s="2" t="s">
        <v>902</v>
      </c>
      <c r="B131" s="2" t="s">
        <v>905</v>
      </c>
      <c r="C131" s="7">
        <v>2025.0</v>
      </c>
      <c r="D131" s="7">
        <v>0.0</v>
      </c>
      <c r="E131" s="9" t="s">
        <v>907</v>
      </c>
      <c r="F131" s="1" t="s">
        <v>43</v>
      </c>
      <c r="G131" s="1" t="s">
        <v>63</v>
      </c>
      <c r="H131" s="6">
        <f>countif(Survey!$E$2:$E$57,E131)</f>
        <v>0</v>
      </c>
      <c r="I131" s="2" t="s">
        <v>909</v>
      </c>
    </row>
    <row r="132">
      <c r="A132" s="2" t="s">
        <v>116</v>
      </c>
      <c r="B132" s="2" t="s">
        <v>119</v>
      </c>
      <c r="C132" s="7">
        <v>2025.0</v>
      </c>
      <c r="D132" s="7">
        <v>0.0</v>
      </c>
      <c r="E132" s="9" t="s">
        <v>123</v>
      </c>
      <c r="F132" s="1" t="s">
        <v>39</v>
      </c>
      <c r="H132" s="6">
        <f>countif(Survey!$E$2:$E$57,E132)</f>
        <v>0</v>
      </c>
      <c r="I132" s="2" t="s">
        <v>127</v>
      </c>
    </row>
    <row r="133">
      <c r="A133" s="54" t="s">
        <v>860</v>
      </c>
      <c r="B133" s="54" t="s">
        <v>863</v>
      </c>
      <c r="C133" s="55">
        <v>2025.0</v>
      </c>
      <c r="D133" s="55">
        <v>0.0</v>
      </c>
      <c r="E133" s="56" t="s">
        <v>866</v>
      </c>
      <c r="F133" s="51" t="s">
        <v>39</v>
      </c>
      <c r="G133" s="57"/>
      <c r="H133" s="57">
        <f>countif(Survey!$E$2:$E$57,E133)</f>
        <v>0</v>
      </c>
      <c r="I133" s="54" t="s">
        <v>871</v>
      </c>
    </row>
    <row r="134">
      <c r="A134" s="2" t="s">
        <v>888</v>
      </c>
      <c r="B134" s="2" t="s">
        <v>891</v>
      </c>
      <c r="C134" s="7">
        <v>2025.0</v>
      </c>
      <c r="D134" s="7">
        <v>0.0</v>
      </c>
      <c r="E134" s="9" t="s">
        <v>894</v>
      </c>
      <c r="F134" s="1" t="s">
        <v>43</v>
      </c>
      <c r="G134" s="1" t="s">
        <v>63</v>
      </c>
      <c r="H134" s="6">
        <f>countif(Survey!$E$2:$E$57,E134)</f>
        <v>0</v>
      </c>
      <c r="I134" s="2" t="s">
        <v>898</v>
      </c>
    </row>
    <row r="135">
      <c r="A135" s="2" t="s">
        <v>609</v>
      </c>
      <c r="B135" s="2" t="s">
        <v>612</v>
      </c>
      <c r="C135" s="7">
        <v>2025.0</v>
      </c>
      <c r="D135" s="7">
        <v>0.0</v>
      </c>
      <c r="E135" s="9" t="s">
        <v>614</v>
      </c>
      <c r="F135" s="1" t="s">
        <v>58</v>
      </c>
      <c r="G135" s="51" t="s">
        <v>1823</v>
      </c>
      <c r="H135" s="6">
        <f>countif(Survey!$E$2:$E$57,E135)</f>
        <v>0</v>
      </c>
      <c r="I135" s="2" t="s">
        <v>622</v>
      </c>
    </row>
    <row r="136">
      <c r="A136" s="2" t="s">
        <v>423</v>
      </c>
      <c r="B136" s="2" t="s">
        <v>426</v>
      </c>
      <c r="C136" s="7">
        <v>2025.0</v>
      </c>
      <c r="D136" s="7">
        <v>13.0</v>
      </c>
      <c r="E136" s="9" t="s">
        <v>429</v>
      </c>
      <c r="F136" s="1" t="s">
        <v>43</v>
      </c>
      <c r="G136" s="1" t="s">
        <v>63</v>
      </c>
      <c r="H136" s="6">
        <f>countif(Survey!$E$2:$E$57,E136)</f>
        <v>0</v>
      </c>
      <c r="I136" s="2" t="s">
        <v>433</v>
      </c>
    </row>
    <row r="137">
      <c r="A137" s="2" t="s">
        <v>876</v>
      </c>
      <c r="B137" s="2" t="s">
        <v>879</v>
      </c>
      <c r="C137" s="7">
        <v>2025.0</v>
      </c>
      <c r="D137" s="7">
        <v>0.0</v>
      </c>
      <c r="E137" s="9" t="s">
        <v>881</v>
      </c>
      <c r="F137" s="1" t="s">
        <v>43</v>
      </c>
      <c r="G137" s="1" t="s">
        <v>63</v>
      </c>
      <c r="H137" s="6">
        <f>countif(Survey!$E$2:$E$57,E137)</f>
        <v>0</v>
      </c>
      <c r="I137" s="2" t="s">
        <v>883</v>
      </c>
    </row>
    <row r="138">
      <c r="A138" s="2" t="s">
        <v>462</v>
      </c>
      <c r="B138" s="2" t="s">
        <v>465</v>
      </c>
      <c r="C138" s="7">
        <v>2025.0</v>
      </c>
      <c r="D138" s="7">
        <v>0.0</v>
      </c>
      <c r="E138" s="9" t="s">
        <v>469</v>
      </c>
      <c r="F138" s="1" t="s">
        <v>43</v>
      </c>
      <c r="G138" s="1" t="s">
        <v>63</v>
      </c>
      <c r="H138" s="6">
        <f>countif(Survey!$E$2:$E$57,E138)</f>
        <v>0</v>
      </c>
      <c r="I138" s="2" t="s">
        <v>473</v>
      </c>
    </row>
    <row r="139">
      <c r="A139" s="2" t="s">
        <v>264</v>
      </c>
      <c r="B139" s="2" t="s">
        <v>267</v>
      </c>
      <c r="C139" s="7">
        <v>2025.0</v>
      </c>
      <c r="D139" s="7">
        <v>0.0</v>
      </c>
      <c r="E139" s="9" t="s">
        <v>271</v>
      </c>
      <c r="F139" s="1" t="s">
        <v>43</v>
      </c>
      <c r="G139" s="1" t="s">
        <v>63</v>
      </c>
      <c r="H139" s="6">
        <f>countif(Survey!$E$2:$E$57,E139)</f>
        <v>0</v>
      </c>
      <c r="I139" s="2" t="s">
        <v>275</v>
      </c>
    </row>
    <row r="140">
      <c r="A140" s="20" t="s">
        <v>158</v>
      </c>
      <c r="B140" s="20" t="s">
        <v>161</v>
      </c>
      <c r="C140" s="21">
        <v>2025.0</v>
      </c>
      <c r="D140" s="21">
        <v>0.0</v>
      </c>
      <c r="E140" s="22" t="s">
        <v>164</v>
      </c>
      <c r="F140" s="23" t="s">
        <v>43</v>
      </c>
      <c r="G140" s="23" t="s">
        <v>63</v>
      </c>
      <c r="H140" s="24">
        <f>countif(Survey!$E$2:$E$57,E140)</f>
        <v>0</v>
      </c>
      <c r="I140" s="20" t="s">
        <v>167</v>
      </c>
    </row>
    <row r="141">
      <c r="A141" s="2" t="s">
        <v>447</v>
      </c>
      <c r="B141" s="2" t="s">
        <v>450</v>
      </c>
      <c r="C141" s="7">
        <v>2025.0</v>
      </c>
      <c r="D141" s="7">
        <v>4.0</v>
      </c>
      <c r="E141" s="9" t="s">
        <v>456</v>
      </c>
      <c r="F141" s="1" t="s">
        <v>43</v>
      </c>
      <c r="G141" s="1" t="s">
        <v>63</v>
      </c>
      <c r="H141" s="6">
        <f>countif(Survey!$E$2:$E$57,E141)</f>
        <v>0</v>
      </c>
      <c r="I141" s="2" t="s">
        <v>458</v>
      </c>
    </row>
    <row r="142">
      <c r="A142" s="54" t="s">
        <v>816</v>
      </c>
      <c r="B142" s="54" t="s">
        <v>819</v>
      </c>
      <c r="C142" s="55">
        <v>2025.0</v>
      </c>
      <c r="D142" s="55">
        <v>0.0</v>
      </c>
      <c r="E142" s="56" t="s">
        <v>824</v>
      </c>
      <c r="F142" s="51" t="s">
        <v>39</v>
      </c>
      <c r="G142" s="57"/>
      <c r="H142" s="57">
        <f>countif(Survey!$E$2:$E$57,E142)</f>
        <v>0</v>
      </c>
      <c r="I142" s="54" t="s">
        <v>839</v>
      </c>
    </row>
    <row r="143">
      <c r="A143" s="2" t="s">
        <v>248</v>
      </c>
      <c r="B143" s="2" t="s">
        <v>251</v>
      </c>
      <c r="C143" s="7">
        <v>2025.0</v>
      </c>
      <c r="D143" s="7">
        <v>0.0</v>
      </c>
      <c r="E143" s="9" t="s">
        <v>253</v>
      </c>
      <c r="F143" s="1" t="s">
        <v>43</v>
      </c>
      <c r="G143" s="1" t="s">
        <v>63</v>
      </c>
      <c r="H143" s="6">
        <f>countif(Survey!$E$2:$E$57,E143)</f>
        <v>0</v>
      </c>
      <c r="I143" s="2" t="s">
        <v>260</v>
      </c>
    </row>
    <row r="144">
      <c r="A144" s="2" t="s">
        <v>437</v>
      </c>
      <c r="B144" s="2" t="s">
        <v>440</v>
      </c>
      <c r="C144" s="7">
        <v>2025.0</v>
      </c>
      <c r="D144" s="7">
        <v>10.0</v>
      </c>
      <c r="E144" s="9" t="s">
        <v>442</v>
      </c>
      <c r="F144" s="1" t="s">
        <v>43</v>
      </c>
      <c r="G144" s="1" t="s">
        <v>63</v>
      </c>
      <c r="H144" s="6">
        <f>countif(Survey!$E$2:$E$57,E144)</f>
        <v>0</v>
      </c>
      <c r="I144" s="2" t="s">
        <v>443</v>
      </c>
    </row>
    <row r="145">
      <c r="A145" s="2" t="s">
        <v>970</v>
      </c>
      <c r="B145" s="2" t="s">
        <v>974</v>
      </c>
      <c r="C145" s="7">
        <v>2025.0</v>
      </c>
      <c r="D145" s="7">
        <v>0.0</v>
      </c>
      <c r="E145" s="9" t="s">
        <v>978</v>
      </c>
      <c r="F145" s="1" t="s">
        <v>43</v>
      </c>
      <c r="G145" s="1" t="s">
        <v>63</v>
      </c>
      <c r="H145" s="6">
        <f>countif(Survey!$E$2:$E$57,E145)</f>
        <v>0</v>
      </c>
      <c r="I145" s="2" t="s">
        <v>982</v>
      </c>
    </row>
    <row r="146">
      <c r="A146" s="2" t="s">
        <v>408</v>
      </c>
      <c r="B146" s="2" t="s">
        <v>411</v>
      </c>
      <c r="C146" s="7">
        <v>2025.0</v>
      </c>
      <c r="D146" s="7">
        <v>4.0</v>
      </c>
      <c r="E146" s="9" t="s">
        <v>414</v>
      </c>
      <c r="F146" s="1" t="s">
        <v>43</v>
      </c>
      <c r="G146" s="1" t="s">
        <v>63</v>
      </c>
      <c r="H146" s="6">
        <f>countif(Survey!$E$2:$E$57,E146)</f>
        <v>0</v>
      </c>
      <c r="I146" s="2" t="s">
        <v>418</v>
      </c>
    </row>
    <row r="147">
      <c r="A147" s="2" t="s">
        <v>396</v>
      </c>
      <c r="B147" s="2" t="s">
        <v>399</v>
      </c>
      <c r="C147" s="7">
        <v>2025.0</v>
      </c>
      <c r="D147" s="7">
        <v>1.0</v>
      </c>
      <c r="E147" s="9" t="s">
        <v>402</v>
      </c>
      <c r="F147" s="1" t="s">
        <v>43</v>
      </c>
      <c r="G147" s="1" t="s">
        <v>63</v>
      </c>
      <c r="H147" s="6">
        <f>countif(Survey!$E$2:$E$57,E147)</f>
        <v>0</v>
      </c>
      <c r="I147" s="2" t="s">
        <v>405</v>
      </c>
    </row>
    <row r="148">
      <c r="A148" s="2" t="s">
        <v>143</v>
      </c>
      <c r="B148" s="2" t="s">
        <v>146</v>
      </c>
      <c r="C148" s="7">
        <v>2025.0</v>
      </c>
      <c r="D148" s="7">
        <v>0.0</v>
      </c>
      <c r="E148" s="9" t="s">
        <v>149</v>
      </c>
      <c r="F148" s="1" t="s">
        <v>43</v>
      </c>
      <c r="G148" s="1" t="s">
        <v>63</v>
      </c>
      <c r="H148" s="6">
        <f>countif(Survey!$E$2:$E$57,E148)</f>
        <v>0</v>
      </c>
      <c r="I148" s="2" t="s">
        <v>153</v>
      </c>
    </row>
    <row r="149">
      <c r="A149" s="2" t="s">
        <v>131</v>
      </c>
      <c r="B149" s="2" t="s">
        <v>134</v>
      </c>
      <c r="C149" s="7">
        <v>2025.0</v>
      </c>
      <c r="D149" s="7">
        <v>0.0</v>
      </c>
      <c r="E149" s="9" t="s">
        <v>137</v>
      </c>
      <c r="F149" s="1" t="s">
        <v>43</v>
      </c>
      <c r="G149" s="1" t="s">
        <v>63</v>
      </c>
      <c r="H149" s="6">
        <f>countif(Survey!$E$2:$E$57,E149)</f>
        <v>0</v>
      </c>
      <c r="I149" s="2" t="s">
        <v>138</v>
      </c>
    </row>
    <row r="150">
      <c r="A150" s="8"/>
      <c r="B150" s="2" t="s">
        <v>625</v>
      </c>
      <c r="C150" s="7">
        <v>2025.0</v>
      </c>
      <c r="D150" s="7">
        <v>0.0</v>
      </c>
      <c r="E150" s="9" t="s">
        <v>627</v>
      </c>
      <c r="F150" s="1" t="s">
        <v>29</v>
      </c>
      <c r="H150" s="6">
        <f>countif(Survey!$E$2:$E$57,E150)</f>
        <v>0</v>
      </c>
      <c r="I150" s="2" t="s">
        <v>631</v>
      </c>
    </row>
    <row r="151">
      <c r="A151" s="8"/>
      <c r="B151" s="2" t="s">
        <v>530</v>
      </c>
      <c r="C151" s="7">
        <v>2025.0</v>
      </c>
      <c r="D151" s="7">
        <v>0.0</v>
      </c>
      <c r="E151" s="9" t="s">
        <v>534</v>
      </c>
      <c r="F151" s="1" t="s">
        <v>29</v>
      </c>
      <c r="H151" s="6">
        <f>countif(Survey!$E$2:$E$57,E151)</f>
        <v>0</v>
      </c>
      <c r="I151" s="2" t="s">
        <v>536</v>
      </c>
    </row>
    <row r="152">
      <c r="A152" s="8"/>
      <c r="B152" s="2" t="s">
        <v>522</v>
      </c>
      <c r="C152" s="7">
        <v>2025.0</v>
      </c>
      <c r="D152" s="7">
        <v>0.0</v>
      </c>
      <c r="E152" s="9" t="s">
        <v>524</v>
      </c>
      <c r="F152" s="1" t="s">
        <v>29</v>
      </c>
      <c r="H152" s="6">
        <f>countif(Survey!$E$2:$E$57,E152)</f>
        <v>0</v>
      </c>
      <c r="I152" s="2" t="s">
        <v>528</v>
      </c>
    </row>
    <row r="153">
      <c r="A153" s="8"/>
      <c r="B153" s="2" t="s">
        <v>665</v>
      </c>
      <c r="C153" s="7">
        <v>2025.0</v>
      </c>
      <c r="D153" s="7">
        <v>0.0</v>
      </c>
      <c r="E153" s="9" t="s">
        <v>669</v>
      </c>
      <c r="F153" s="1" t="s">
        <v>29</v>
      </c>
      <c r="H153" s="6">
        <f>countif(Survey!$E$2:$E$57,E153)</f>
        <v>0</v>
      </c>
      <c r="I153" s="2" t="s">
        <v>674</v>
      </c>
    </row>
    <row r="154">
      <c r="A154" s="8"/>
      <c r="B154" s="2" t="s">
        <v>487</v>
      </c>
      <c r="C154" s="7">
        <v>2025.0</v>
      </c>
      <c r="D154" s="7">
        <v>0.0</v>
      </c>
      <c r="E154" s="9" t="s">
        <v>489</v>
      </c>
      <c r="F154" s="1" t="s">
        <v>29</v>
      </c>
      <c r="H154" s="6">
        <f>countif(Survey!$E$2:$E$57,E154)</f>
        <v>0</v>
      </c>
      <c r="I154" s="2" t="s">
        <v>490</v>
      </c>
    </row>
    <row r="155">
      <c r="A155" s="8"/>
      <c r="B155" s="2" t="s">
        <v>1062</v>
      </c>
      <c r="C155" s="7">
        <v>2025.0</v>
      </c>
      <c r="D155" s="7">
        <v>0.0</v>
      </c>
      <c r="E155" s="9" t="s">
        <v>1066</v>
      </c>
      <c r="F155" s="1" t="s">
        <v>29</v>
      </c>
      <c r="H155" s="6">
        <f>countif(Survey!$E$2:$E$57,E155)</f>
        <v>0</v>
      </c>
      <c r="I155" s="2" t="s">
        <v>1070</v>
      </c>
    </row>
    <row r="156">
      <c r="A156" s="8"/>
      <c r="B156" s="2" t="s">
        <v>1062</v>
      </c>
      <c r="C156" s="7">
        <v>2025.0</v>
      </c>
      <c r="D156" s="7">
        <v>0.0</v>
      </c>
      <c r="E156" s="9" t="s">
        <v>1085</v>
      </c>
      <c r="F156" s="1" t="s">
        <v>29</v>
      </c>
      <c r="H156" s="6">
        <f>countif(Survey!$E$2:$E$57,E156)</f>
        <v>0</v>
      </c>
      <c r="I156" s="2" t="s">
        <v>1070</v>
      </c>
    </row>
    <row r="157">
      <c r="A157" s="2" t="s">
        <v>54</v>
      </c>
      <c r="B157" s="2" t="s">
        <v>57</v>
      </c>
      <c r="C157" s="7">
        <v>2026.0</v>
      </c>
      <c r="D157" s="7">
        <v>0.0</v>
      </c>
      <c r="E157" s="9" t="s">
        <v>61</v>
      </c>
      <c r="F157" s="1" t="s">
        <v>43</v>
      </c>
      <c r="G157" s="1" t="s">
        <v>63</v>
      </c>
      <c r="H157" s="6">
        <f>countif(Survey!$E$2:$E$57,E157)</f>
        <v>0</v>
      </c>
      <c r="I157" s="2" t="s">
        <v>67</v>
      </c>
    </row>
    <row r="158">
      <c r="A158" s="2" t="s">
        <v>28</v>
      </c>
      <c r="B158" s="2" t="s">
        <v>33</v>
      </c>
      <c r="C158" s="7">
        <v>2026.0</v>
      </c>
      <c r="D158" s="7">
        <v>0.0</v>
      </c>
      <c r="E158" s="9" t="s">
        <v>36</v>
      </c>
      <c r="F158" s="1" t="s">
        <v>43</v>
      </c>
      <c r="G158" s="1" t="s">
        <v>63</v>
      </c>
      <c r="H158" s="6">
        <f>countif(Survey!$E$2:$E$57,E158)</f>
        <v>0</v>
      </c>
      <c r="I158" s="2" t="s">
        <v>46</v>
      </c>
    </row>
    <row r="159">
      <c r="A159" s="2" t="s">
        <v>72</v>
      </c>
      <c r="B159" s="2" t="s">
        <v>75</v>
      </c>
      <c r="C159" s="7">
        <v>2026.0</v>
      </c>
      <c r="D159" s="7">
        <v>0.0</v>
      </c>
      <c r="E159" s="9" t="s">
        <v>79</v>
      </c>
      <c r="F159" s="1" t="s">
        <v>39</v>
      </c>
      <c r="H159" s="6">
        <f>countif(Survey!$E$2:$E$57,E159)</f>
        <v>0</v>
      </c>
      <c r="I159" s="2" t="s">
        <v>80</v>
      </c>
    </row>
    <row r="160">
      <c r="A160" s="2" t="s">
        <v>85</v>
      </c>
      <c r="B160" s="2" t="s">
        <v>88</v>
      </c>
      <c r="C160" s="7">
        <v>2026.0</v>
      </c>
      <c r="D160" s="7">
        <v>0.0</v>
      </c>
      <c r="E160" s="9" t="s">
        <v>91</v>
      </c>
      <c r="F160" s="1" t="s">
        <v>43</v>
      </c>
      <c r="G160" s="1" t="s">
        <v>63</v>
      </c>
      <c r="H160" s="6">
        <f>countif(Survey!$E$2:$E$57,E160)</f>
        <v>0</v>
      </c>
      <c r="I160" s="2" t="s">
        <v>95</v>
      </c>
    </row>
    <row r="161">
      <c r="A161" s="8"/>
      <c r="B161" s="2" t="s">
        <v>99</v>
      </c>
      <c r="C161" s="7">
        <v>2026.0</v>
      </c>
      <c r="D161" s="7">
        <v>0.0</v>
      </c>
      <c r="E161" s="9" t="s">
        <v>102</v>
      </c>
      <c r="F161" s="1" t="s">
        <v>29</v>
      </c>
      <c r="H161" s="6">
        <f>countif(Survey!$E$2:$E$57,E161)</f>
        <v>0</v>
      </c>
      <c r="I161" s="2"/>
    </row>
    <row r="162">
      <c r="A162" s="8"/>
      <c r="B162" s="2" t="s">
        <v>99</v>
      </c>
      <c r="C162" s="7">
        <v>2026.0</v>
      </c>
      <c r="D162" s="7">
        <v>0.0</v>
      </c>
      <c r="E162" s="9" t="s">
        <v>106</v>
      </c>
      <c r="F162" s="1" t="s">
        <v>29</v>
      </c>
      <c r="H162" s="6">
        <f>countif(Survey!$E$2:$E$57,E162)</f>
        <v>0</v>
      </c>
      <c r="I162" s="2"/>
    </row>
    <row r="163">
      <c r="A163" s="8"/>
      <c r="B163" s="2" t="s">
        <v>111</v>
      </c>
      <c r="C163" s="7">
        <v>2026.0</v>
      </c>
      <c r="D163" s="7">
        <v>0.0</v>
      </c>
      <c r="E163" s="9" t="s">
        <v>113</v>
      </c>
      <c r="F163" s="1" t="s">
        <v>29</v>
      </c>
      <c r="H163" s="6">
        <f>countif(Survey!$E$2:$E$57,E163)</f>
        <v>0</v>
      </c>
      <c r="I163" s="2"/>
    </row>
    <row r="166">
      <c r="A166" s="1" t="s">
        <v>2488</v>
      </c>
    </row>
    <row r="167">
      <c r="A167" s="24"/>
      <c r="B167" s="1" t="s">
        <v>2495</v>
      </c>
    </row>
    <row r="168">
      <c r="A168" s="72"/>
      <c r="B168" s="1" t="s">
        <v>2502</v>
      </c>
    </row>
    <row r="169">
      <c r="A169" s="57"/>
      <c r="B169" s="1" t="s">
        <v>2503</v>
      </c>
    </row>
  </sheetData>
  <hyperlinks>
    <hyperlink r:id="rId4" ref="E2"/>
    <hyperlink r:id="rId5" ref="E3"/>
    <hyperlink r:id="rId6" ref="E4"/>
    <hyperlink r:id="rId7" ref="E5"/>
    <hyperlink r:id="rId8" ref="E6"/>
    <hyperlink r:id="rId9" ref="E7"/>
    <hyperlink r:id="rId10" ref="E8"/>
    <hyperlink r:id="rId11" ref="E9"/>
    <hyperlink r:id="rId12" ref="E10"/>
    <hyperlink r:id="rId13" ref="E11"/>
    <hyperlink r:id="rId14" ref="E12"/>
    <hyperlink r:id="rId15" ref="E13"/>
    <hyperlink r:id="rId16" ref="E14"/>
    <hyperlink r:id="rId17" ref="E15"/>
    <hyperlink r:id="rId18" ref="E16"/>
    <hyperlink r:id="rId19" ref="E17"/>
    <hyperlink r:id="rId20" ref="E18"/>
    <hyperlink r:id="rId21" ref="E19"/>
    <hyperlink r:id="rId22" ref="E20"/>
    <hyperlink r:id="rId23" ref="E21"/>
    <hyperlink r:id="rId24" ref="E22"/>
    <hyperlink r:id="rId25" ref="E23"/>
    <hyperlink r:id="rId26" ref="E24"/>
    <hyperlink r:id="rId27" ref="E25"/>
    <hyperlink r:id="rId28" ref="E26"/>
    <hyperlink r:id="rId29" ref="E27"/>
    <hyperlink r:id="rId30" ref="E28"/>
    <hyperlink r:id="rId31" ref="E29"/>
    <hyperlink r:id="rId32" ref="E30"/>
    <hyperlink r:id="rId33" ref="E31"/>
    <hyperlink r:id="rId34" ref="E32"/>
    <hyperlink r:id="rId35" ref="E33"/>
    <hyperlink r:id="rId36" ref="E34"/>
    <hyperlink r:id="rId37" ref="E35"/>
    <hyperlink r:id="rId38" ref="E36"/>
    <hyperlink r:id="rId39" ref="E37"/>
    <hyperlink r:id="rId40" ref="E38"/>
    <hyperlink r:id="rId41" ref="E39"/>
    <hyperlink r:id="rId42" ref="E40"/>
    <hyperlink r:id="rId43" ref="E41"/>
    <hyperlink r:id="rId44" ref="E42"/>
    <hyperlink r:id="rId45" ref="E43"/>
    <hyperlink r:id="rId46" ref="E44"/>
    <hyperlink r:id="rId47" ref="E45"/>
    <hyperlink r:id="rId48" ref="E46"/>
    <hyperlink r:id="rId49" ref="E47"/>
    <hyperlink r:id="rId50" ref="E48"/>
    <hyperlink r:id="rId51" ref="E49"/>
    <hyperlink r:id="rId52" ref="E50"/>
    <hyperlink r:id="rId53" ref="E51"/>
    <hyperlink r:id="rId54" ref="E52"/>
    <hyperlink r:id="rId55" ref="E53"/>
    <hyperlink r:id="rId56" ref="E54"/>
    <hyperlink r:id="rId57" ref="E55"/>
    <hyperlink r:id="rId58" ref="E56"/>
    <hyperlink r:id="rId59" ref="E57"/>
    <hyperlink r:id="rId60" ref="E58"/>
    <hyperlink r:id="rId61" ref="E59"/>
    <hyperlink r:id="rId62" ref="E60"/>
    <hyperlink r:id="rId63" ref="E61"/>
    <hyperlink r:id="rId64" ref="E62"/>
    <hyperlink r:id="rId65" ref="E63"/>
    <hyperlink r:id="rId66" ref="E64"/>
    <hyperlink r:id="rId67" ref="E65"/>
    <hyperlink r:id="rId68" ref="E66"/>
    <hyperlink r:id="rId69" ref="E67"/>
    <hyperlink r:id="rId70" ref="E68"/>
    <hyperlink r:id="rId71" ref="E69"/>
    <hyperlink r:id="rId72" ref="E70"/>
    <hyperlink r:id="rId73" ref="E71"/>
    <hyperlink r:id="rId74" ref="E72"/>
    <hyperlink r:id="rId75" ref="E73"/>
    <hyperlink r:id="rId76" ref="E74"/>
    <hyperlink r:id="rId77" ref="E75"/>
    <hyperlink r:id="rId78" ref="E76"/>
    <hyperlink r:id="rId79" ref="E77"/>
    <hyperlink r:id="rId80" ref="E78"/>
    <hyperlink r:id="rId81" ref="E79"/>
    <hyperlink r:id="rId82" ref="E80"/>
    <hyperlink r:id="rId83" ref="E81"/>
    <hyperlink r:id="rId84" ref="E82"/>
    <hyperlink r:id="rId85" ref="E83"/>
    <hyperlink r:id="rId86" ref="E84"/>
    <hyperlink r:id="rId87" ref="E85"/>
    <hyperlink r:id="rId88" ref="E86"/>
    <hyperlink r:id="rId89" ref="E87"/>
    <hyperlink r:id="rId90" ref="E88"/>
    <hyperlink r:id="rId91" ref="E89"/>
    <hyperlink r:id="rId92" ref="E90"/>
    <hyperlink r:id="rId93" ref="E91"/>
    <hyperlink r:id="rId94" ref="E92"/>
    <hyperlink r:id="rId95" ref="E93"/>
    <hyperlink r:id="rId96" ref="E94"/>
    <hyperlink r:id="rId97" ref="E95"/>
    <hyperlink r:id="rId98" ref="E96"/>
    <hyperlink r:id="rId99" ref="E97"/>
    <hyperlink r:id="rId100" ref="E98"/>
    <hyperlink r:id="rId101" ref="E99"/>
    <hyperlink r:id="rId102" ref="E100"/>
    <hyperlink r:id="rId103" ref="E101"/>
    <hyperlink r:id="rId104" ref="E102"/>
    <hyperlink r:id="rId105" ref="E103"/>
    <hyperlink r:id="rId106" ref="E104"/>
    <hyperlink r:id="rId107" ref="E105"/>
    <hyperlink r:id="rId108" ref="E106"/>
    <hyperlink r:id="rId109" ref="E107"/>
    <hyperlink r:id="rId110" ref="E108"/>
    <hyperlink r:id="rId111" ref="E109"/>
    <hyperlink r:id="rId112" ref="E110"/>
    <hyperlink r:id="rId113" ref="E111"/>
    <hyperlink r:id="rId114" ref="E112"/>
    <hyperlink r:id="rId115" ref="E113"/>
    <hyperlink r:id="rId116" ref="E114"/>
    <hyperlink r:id="rId117" ref="E115"/>
    <hyperlink r:id="rId118" ref="E116"/>
    <hyperlink r:id="rId119" ref="E117"/>
    <hyperlink r:id="rId120" ref="E118"/>
    <hyperlink r:id="rId121" ref="E119"/>
    <hyperlink r:id="rId122" ref="E120"/>
    <hyperlink r:id="rId123" ref="E121"/>
    <hyperlink r:id="rId124" ref="E122"/>
    <hyperlink r:id="rId125" ref="E123"/>
    <hyperlink r:id="rId126" ref="E124"/>
    <hyperlink r:id="rId127" ref="E125"/>
    <hyperlink r:id="rId128" ref="E126"/>
    <hyperlink r:id="rId129" ref="E127"/>
    <hyperlink r:id="rId130" ref="E128"/>
    <hyperlink r:id="rId131" ref="E129"/>
    <hyperlink r:id="rId132" ref="E130"/>
    <hyperlink r:id="rId133" ref="E131"/>
    <hyperlink r:id="rId134" ref="E132"/>
    <hyperlink r:id="rId135" ref="E133"/>
    <hyperlink r:id="rId136" ref="E134"/>
    <hyperlink r:id="rId137" ref="E135"/>
    <hyperlink r:id="rId138" ref="E136"/>
    <hyperlink r:id="rId139" ref="E137"/>
    <hyperlink r:id="rId140" ref="E138"/>
    <hyperlink r:id="rId141" ref="E139"/>
    <hyperlink r:id="rId142" ref="E140"/>
    <hyperlink r:id="rId143" ref="E141"/>
    <hyperlink r:id="rId144" ref="E142"/>
    <hyperlink r:id="rId145" ref="E143"/>
    <hyperlink r:id="rId146" ref="E144"/>
    <hyperlink r:id="rId147" ref="E145"/>
    <hyperlink r:id="rId148" ref="E146"/>
    <hyperlink r:id="rId149" ref="E147"/>
    <hyperlink r:id="rId150" ref="E148"/>
    <hyperlink r:id="rId151" ref="E149"/>
    <hyperlink r:id="rId152" ref="E150"/>
    <hyperlink r:id="rId153" ref="E151"/>
    <hyperlink r:id="rId154" ref="E152"/>
    <hyperlink r:id="rId155" ref="E153"/>
    <hyperlink r:id="rId156" ref="E154"/>
    <hyperlink r:id="rId157" ref="E155"/>
    <hyperlink r:id="rId158" ref="E156"/>
    <hyperlink r:id="rId159" ref="E157"/>
    <hyperlink r:id="rId160" ref="E158"/>
    <hyperlink r:id="rId161" ref="E159"/>
    <hyperlink r:id="rId162" ref="E160"/>
    <hyperlink r:id="rId163" ref="E161"/>
    <hyperlink r:id="rId164" ref="E162"/>
    <hyperlink r:id="rId165" ref="E163"/>
  </hyperlinks>
  <drawing r:id="rId166"/>
  <legacyDrawing r:id="rId16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4</v>
      </c>
      <c r="C1" s="2" t="s">
        <v>5</v>
      </c>
      <c r="D1" s="2" t="s">
        <v>6</v>
      </c>
      <c r="E1" s="2" t="s">
        <v>7</v>
      </c>
      <c r="F1" s="2" t="s">
        <v>8</v>
      </c>
      <c r="G1" s="2" t="s">
        <v>9</v>
      </c>
      <c r="H1" s="2" t="s">
        <v>11</v>
      </c>
      <c r="I1" s="2" t="s">
        <v>13</v>
      </c>
      <c r="J1" s="2" t="s">
        <v>14</v>
      </c>
      <c r="K1" s="2" t="s">
        <v>16</v>
      </c>
      <c r="L1" s="2" t="s">
        <v>10</v>
      </c>
      <c r="M1" s="2" t="s">
        <v>18</v>
      </c>
      <c r="N1" s="2" t="s">
        <v>12</v>
      </c>
      <c r="O1" s="2" t="s">
        <v>19</v>
      </c>
      <c r="P1" s="2" t="s">
        <v>20</v>
      </c>
      <c r="Q1" s="2" t="s">
        <v>22</v>
      </c>
      <c r="R1" s="2" t="s">
        <v>23</v>
      </c>
      <c r="S1" s="2" t="s">
        <v>24</v>
      </c>
      <c r="T1" s="2" t="s">
        <v>25</v>
      </c>
      <c r="U1" s="2" t="s">
        <v>26</v>
      </c>
      <c r="V1" s="2" t="s">
        <v>27</v>
      </c>
    </row>
    <row r="2">
      <c r="A2" s="2" t="s">
        <v>28</v>
      </c>
      <c r="B2" s="2" t="s">
        <v>30</v>
      </c>
      <c r="C2" s="2" t="s">
        <v>31</v>
      </c>
      <c r="D2" s="2" t="s">
        <v>33</v>
      </c>
      <c r="E2" s="7">
        <v>2026.0</v>
      </c>
      <c r="F2" s="2" t="s">
        <v>34</v>
      </c>
      <c r="G2" s="7">
        <v>114.0</v>
      </c>
      <c r="H2" s="8"/>
      <c r="I2" s="7">
        <v>109336.0</v>
      </c>
      <c r="J2" s="8"/>
      <c r="K2" s="8"/>
      <c r="L2" s="7">
        <v>0.0</v>
      </c>
      <c r="M2" s="2" t="s">
        <v>35</v>
      </c>
      <c r="N2" s="9" t="s">
        <v>36</v>
      </c>
      <c r="O2" s="2" t="s">
        <v>46</v>
      </c>
      <c r="P2" s="2" t="s">
        <v>48</v>
      </c>
      <c r="Q2" s="2" t="s">
        <v>49</v>
      </c>
      <c r="R2" s="2" t="s">
        <v>50</v>
      </c>
      <c r="S2" s="2" t="s">
        <v>51</v>
      </c>
      <c r="T2" s="8"/>
      <c r="U2" s="2" t="s">
        <v>52</v>
      </c>
      <c r="V2" s="2" t="s">
        <v>53</v>
      </c>
    </row>
    <row r="3">
      <c r="A3" s="2" t="s">
        <v>54</v>
      </c>
      <c r="B3" s="2" t="s">
        <v>55</v>
      </c>
      <c r="C3" s="2" t="s">
        <v>56</v>
      </c>
      <c r="D3" s="2" t="s">
        <v>57</v>
      </c>
      <c r="E3" s="7">
        <v>2026.0</v>
      </c>
      <c r="F3" s="2" t="s">
        <v>34</v>
      </c>
      <c r="G3" s="7">
        <v>113.0</v>
      </c>
      <c r="H3" s="8"/>
      <c r="I3" s="7">
        <v>108957.0</v>
      </c>
      <c r="J3" s="8"/>
      <c r="K3" s="8"/>
      <c r="L3" s="7">
        <v>0.0</v>
      </c>
      <c r="M3" s="2" t="s">
        <v>60</v>
      </c>
      <c r="N3" s="9" t="s">
        <v>61</v>
      </c>
      <c r="O3" s="2" t="s">
        <v>67</v>
      </c>
      <c r="P3" s="2" t="s">
        <v>68</v>
      </c>
      <c r="Q3" s="2" t="s">
        <v>69</v>
      </c>
      <c r="R3" s="2" t="s">
        <v>50</v>
      </c>
      <c r="S3" s="2" t="s">
        <v>51</v>
      </c>
      <c r="T3" s="8"/>
      <c r="U3" s="2" t="s">
        <v>52</v>
      </c>
      <c r="V3" s="2" t="s">
        <v>71</v>
      </c>
    </row>
    <row r="4">
      <c r="A4" s="2" t="s">
        <v>72</v>
      </c>
      <c r="B4" s="2" t="s">
        <v>73</v>
      </c>
      <c r="C4" s="2" t="s">
        <v>74</v>
      </c>
      <c r="D4" s="2" t="s">
        <v>75</v>
      </c>
      <c r="E4" s="7">
        <v>2026.0</v>
      </c>
      <c r="F4" s="2" t="s">
        <v>76</v>
      </c>
      <c r="G4" s="2" t="s">
        <v>77</v>
      </c>
      <c r="H4" s="8"/>
      <c r="I4" s="8"/>
      <c r="J4" s="7">
        <v>183.0</v>
      </c>
      <c r="K4" s="7">
        <v>195.0</v>
      </c>
      <c r="L4" s="7">
        <v>0.0</v>
      </c>
      <c r="M4" s="2" t="s">
        <v>78</v>
      </c>
      <c r="N4" s="9" t="s">
        <v>79</v>
      </c>
      <c r="O4" s="2" t="s">
        <v>80</v>
      </c>
      <c r="P4" s="2" t="s">
        <v>81</v>
      </c>
      <c r="Q4" s="2" t="s">
        <v>82</v>
      </c>
      <c r="R4" s="2" t="s">
        <v>83</v>
      </c>
      <c r="S4" s="2" t="s">
        <v>51</v>
      </c>
      <c r="T4" s="8"/>
      <c r="U4" s="2" t="s">
        <v>52</v>
      </c>
      <c r="V4" s="2" t="s">
        <v>84</v>
      </c>
    </row>
    <row r="5">
      <c r="A5" s="2" t="s">
        <v>85</v>
      </c>
      <c r="B5" s="2" t="s">
        <v>86</v>
      </c>
      <c r="C5" s="2" t="s">
        <v>87</v>
      </c>
      <c r="D5" s="2" t="s">
        <v>88</v>
      </c>
      <c r="E5" s="7">
        <v>2026.0</v>
      </c>
      <c r="F5" s="2" t="s">
        <v>76</v>
      </c>
      <c r="G5" s="2" t="s">
        <v>89</v>
      </c>
      <c r="H5" s="8"/>
      <c r="I5" s="8"/>
      <c r="J5" s="7">
        <v>36.0</v>
      </c>
      <c r="K5" s="7">
        <v>49.0</v>
      </c>
      <c r="L5" s="7">
        <v>0.0</v>
      </c>
      <c r="M5" s="2" t="s">
        <v>90</v>
      </c>
      <c r="N5" s="9" t="s">
        <v>91</v>
      </c>
      <c r="O5" s="2" t="s">
        <v>95</v>
      </c>
      <c r="P5" s="2" t="s">
        <v>96</v>
      </c>
      <c r="Q5" s="2" t="s">
        <v>97</v>
      </c>
      <c r="R5" s="2" t="s">
        <v>83</v>
      </c>
      <c r="S5" s="2" t="s">
        <v>51</v>
      </c>
      <c r="T5" s="8"/>
      <c r="U5" s="2" t="s">
        <v>52</v>
      </c>
      <c r="V5" s="2" t="s">
        <v>98</v>
      </c>
    </row>
    <row r="6">
      <c r="A6" s="8"/>
      <c r="B6" s="8"/>
      <c r="C6" s="8"/>
      <c r="D6" s="2" t="s">
        <v>99</v>
      </c>
      <c r="E6" s="7">
        <v>2026.0</v>
      </c>
      <c r="F6" s="2" t="s">
        <v>100</v>
      </c>
      <c r="G6" s="2" t="s">
        <v>101</v>
      </c>
      <c r="H6" s="8"/>
      <c r="I6" s="8"/>
      <c r="J6" s="8"/>
      <c r="K6" s="8"/>
      <c r="L6" s="7">
        <v>0.0</v>
      </c>
      <c r="M6" s="8"/>
      <c r="N6" s="9" t="s">
        <v>102</v>
      </c>
      <c r="O6" s="2" t="s">
        <v>103</v>
      </c>
      <c r="R6" s="2" t="s">
        <v>104</v>
      </c>
      <c r="S6" s="2" t="s">
        <v>51</v>
      </c>
      <c r="T6" s="8"/>
      <c r="U6" s="2" t="s">
        <v>52</v>
      </c>
      <c r="V6" s="2" t="s">
        <v>105</v>
      </c>
    </row>
    <row r="7">
      <c r="A7" s="8"/>
      <c r="B7" s="8"/>
      <c r="C7" s="8"/>
      <c r="D7" s="2" t="s">
        <v>99</v>
      </c>
      <c r="E7" s="7">
        <v>2026.0</v>
      </c>
      <c r="F7" s="2" t="s">
        <v>100</v>
      </c>
      <c r="G7" s="7">
        <v>2713.0</v>
      </c>
      <c r="H7" s="8"/>
      <c r="I7" s="8"/>
      <c r="J7" s="8"/>
      <c r="K7" s="8"/>
      <c r="L7" s="7">
        <v>0.0</v>
      </c>
      <c r="M7" s="8"/>
      <c r="N7" s="9" t="s">
        <v>106</v>
      </c>
      <c r="O7" s="2" t="s">
        <v>103</v>
      </c>
      <c r="R7" s="2" t="s">
        <v>104</v>
      </c>
      <c r="S7" s="2" t="s">
        <v>51</v>
      </c>
      <c r="T7" s="8"/>
      <c r="U7" s="2" t="s">
        <v>52</v>
      </c>
      <c r="V7" s="2" t="s">
        <v>110</v>
      </c>
    </row>
    <row r="8">
      <c r="A8" s="8"/>
      <c r="B8" s="8"/>
      <c r="C8" s="8"/>
      <c r="D8" s="2" t="s">
        <v>111</v>
      </c>
      <c r="E8" s="7">
        <v>2026.0</v>
      </c>
      <c r="F8" s="2" t="s">
        <v>100</v>
      </c>
      <c r="G8" s="2" t="s">
        <v>112</v>
      </c>
      <c r="H8" s="8"/>
      <c r="I8" s="8"/>
      <c r="J8" s="8"/>
      <c r="K8" s="8"/>
      <c r="L8" s="7">
        <v>0.0</v>
      </c>
      <c r="M8" s="8"/>
      <c r="N8" s="9" t="s">
        <v>113</v>
      </c>
      <c r="O8" s="2" t="s">
        <v>114</v>
      </c>
      <c r="R8" s="2" t="s">
        <v>104</v>
      </c>
      <c r="S8" s="2" t="s">
        <v>51</v>
      </c>
      <c r="T8" s="8"/>
      <c r="U8" s="2" t="s">
        <v>52</v>
      </c>
      <c r="V8" s="2" t="s">
        <v>115</v>
      </c>
    </row>
    <row r="9">
      <c r="A9" s="2" t="s">
        <v>116</v>
      </c>
      <c r="B9" s="2" t="s">
        <v>117</v>
      </c>
      <c r="C9" s="2" t="s">
        <v>118</v>
      </c>
      <c r="D9" s="2" t="s">
        <v>119</v>
      </c>
      <c r="E9" s="7">
        <v>2025.0</v>
      </c>
      <c r="F9" s="2" t="s">
        <v>120</v>
      </c>
      <c r="G9" s="7">
        <v>52.0</v>
      </c>
      <c r="H9" s="7">
        <v>12.0</v>
      </c>
      <c r="I9" s="2" t="s">
        <v>121</v>
      </c>
      <c r="J9" s="8"/>
      <c r="K9" s="8"/>
      <c r="L9" s="7">
        <v>0.0</v>
      </c>
      <c r="M9" s="2" t="s">
        <v>122</v>
      </c>
      <c r="N9" s="9" t="s">
        <v>123</v>
      </c>
      <c r="O9" s="2" t="s">
        <v>127</v>
      </c>
      <c r="P9" s="2" t="s">
        <v>128</v>
      </c>
      <c r="Q9" s="2" t="s">
        <v>129</v>
      </c>
      <c r="R9" s="2" t="s">
        <v>50</v>
      </c>
      <c r="S9" s="2" t="s">
        <v>51</v>
      </c>
      <c r="T9" s="8"/>
      <c r="U9" s="2" t="s">
        <v>52</v>
      </c>
      <c r="V9" s="2" t="s">
        <v>130</v>
      </c>
    </row>
    <row r="10">
      <c r="A10" s="2" t="s">
        <v>131</v>
      </c>
      <c r="B10" s="2" t="s">
        <v>132</v>
      </c>
      <c r="C10" s="2" t="s">
        <v>133</v>
      </c>
      <c r="D10" s="2" t="s">
        <v>134</v>
      </c>
      <c r="E10" s="7">
        <v>2025.0</v>
      </c>
      <c r="F10" s="2" t="s">
        <v>135</v>
      </c>
      <c r="G10" s="7">
        <v>28.0</v>
      </c>
      <c r="H10" s="8"/>
      <c r="I10" s="7">
        <v>107600.0</v>
      </c>
      <c r="J10" s="8"/>
      <c r="K10" s="8"/>
      <c r="L10" s="7">
        <v>0.0</v>
      </c>
      <c r="M10" s="2" t="s">
        <v>136</v>
      </c>
      <c r="N10" s="9" t="s">
        <v>137</v>
      </c>
      <c r="O10" s="2" t="s">
        <v>138</v>
      </c>
      <c r="P10" s="2" t="s">
        <v>139</v>
      </c>
      <c r="Q10" s="2" t="s">
        <v>140</v>
      </c>
      <c r="R10" s="2" t="s">
        <v>50</v>
      </c>
      <c r="S10" s="2" t="s">
        <v>51</v>
      </c>
      <c r="T10" s="2" t="s">
        <v>141</v>
      </c>
      <c r="U10" s="2" t="s">
        <v>52</v>
      </c>
      <c r="V10" s="2" t="s">
        <v>142</v>
      </c>
    </row>
    <row r="11">
      <c r="A11" s="2" t="s">
        <v>143</v>
      </c>
      <c r="B11" s="2" t="s">
        <v>144</v>
      </c>
      <c r="C11" s="2" t="s">
        <v>145</v>
      </c>
      <c r="D11" s="2" t="s">
        <v>146</v>
      </c>
      <c r="E11" s="7">
        <v>2025.0</v>
      </c>
      <c r="F11" s="2" t="s">
        <v>147</v>
      </c>
      <c r="G11" s="7">
        <v>49.0</v>
      </c>
      <c r="H11" s="7">
        <v>1.0</v>
      </c>
      <c r="I11" s="7">
        <v>162.0</v>
      </c>
      <c r="J11" s="8"/>
      <c r="K11" s="8"/>
      <c r="L11" s="7">
        <v>0.0</v>
      </c>
      <c r="M11" s="2" t="s">
        <v>148</v>
      </c>
      <c r="N11" s="9" t="s">
        <v>149</v>
      </c>
      <c r="O11" s="2" t="s">
        <v>153</v>
      </c>
      <c r="P11" s="2" t="s">
        <v>154</v>
      </c>
      <c r="Q11" s="2" t="s">
        <v>155</v>
      </c>
      <c r="R11" s="2" t="s">
        <v>50</v>
      </c>
      <c r="S11" s="2" t="s">
        <v>51</v>
      </c>
      <c r="T11" s="2" t="s">
        <v>156</v>
      </c>
      <c r="U11" s="2" t="s">
        <v>52</v>
      </c>
      <c r="V11" s="2" t="s">
        <v>157</v>
      </c>
    </row>
    <row r="12">
      <c r="A12" s="2" t="s">
        <v>158</v>
      </c>
      <c r="B12" s="2" t="s">
        <v>159</v>
      </c>
      <c r="C12" s="2" t="s">
        <v>160</v>
      </c>
      <c r="D12" s="2" t="s">
        <v>161</v>
      </c>
      <c r="E12" s="7">
        <v>2025.0</v>
      </c>
      <c r="F12" s="2" t="s">
        <v>162</v>
      </c>
      <c r="G12" s="7">
        <v>5.0</v>
      </c>
      <c r="H12" s="7">
        <v>1.0</v>
      </c>
      <c r="I12" s="7">
        <v>187.0</v>
      </c>
      <c r="J12" s="8"/>
      <c r="K12" s="8"/>
      <c r="L12" s="7">
        <v>0.0</v>
      </c>
      <c r="M12" s="2" t="s">
        <v>163</v>
      </c>
      <c r="N12" s="9" t="s">
        <v>164</v>
      </c>
      <c r="O12" s="2" t="s">
        <v>167</v>
      </c>
      <c r="P12" s="2" t="s">
        <v>168</v>
      </c>
      <c r="Q12" s="2" t="s">
        <v>169</v>
      </c>
      <c r="R12" s="2" t="s">
        <v>50</v>
      </c>
      <c r="S12" s="2" t="s">
        <v>51</v>
      </c>
      <c r="T12" s="2" t="s">
        <v>170</v>
      </c>
      <c r="U12" s="2" t="s">
        <v>52</v>
      </c>
      <c r="V12" s="2" t="s">
        <v>171</v>
      </c>
    </row>
    <row r="13">
      <c r="A13" s="2" t="s">
        <v>172</v>
      </c>
      <c r="B13" s="2" t="s">
        <v>173</v>
      </c>
      <c r="C13" s="2" t="s">
        <v>174</v>
      </c>
      <c r="D13" s="2" t="s">
        <v>176</v>
      </c>
      <c r="E13" s="7">
        <v>2025.0</v>
      </c>
      <c r="F13" s="2" t="s">
        <v>177</v>
      </c>
      <c r="G13" s="7">
        <v>26.0</v>
      </c>
      <c r="H13" s="7">
        <v>1.0</v>
      </c>
      <c r="I13" s="7">
        <v>68.0</v>
      </c>
      <c r="J13" s="8"/>
      <c r="K13" s="8"/>
      <c r="L13" s="7">
        <v>2.0</v>
      </c>
      <c r="M13" s="2" t="s">
        <v>178</v>
      </c>
      <c r="N13" s="9" t="s">
        <v>179</v>
      </c>
      <c r="O13" s="2" t="s">
        <v>183</v>
      </c>
      <c r="P13" s="2" t="s">
        <v>184</v>
      </c>
      <c r="Q13" s="2" t="s">
        <v>185</v>
      </c>
      <c r="R13" s="2" t="s">
        <v>50</v>
      </c>
      <c r="S13" s="2" t="s">
        <v>51</v>
      </c>
      <c r="T13" s="8"/>
      <c r="U13" s="2" t="s">
        <v>52</v>
      </c>
      <c r="V13" s="2" t="s">
        <v>186</v>
      </c>
    </row>
    <row r="14">
      <c r="A14" s="2" t="s">
        <v>187</v>
      </c>
      <c r="B14" s="2" t="s">
        <v>188</v>
      </c>
      <c r="C14" s="2" t="s">
        <v>189</v>
      </c>
      <c r="D14" s="2" t="s">
        <v>190</v>
      </c>
      <c r="E14" s="7">
        <v>2025.0</v>
      </c>
      <c r="F14" s="2" t="s">
        <v>191</v>
      </c>
      <c r="G14" s="7">
        <v>18.0</v>
      </c>
      <c r="H14" s="7">
        <v>10.0</v>
      </c>
      <c r="I14" s="8"/>
      <c r="J14" s="7">
        <v>794.0</v>
      </c>
      <c r="K14" s="7">
        <v>807.0</v>
      </c>
      <c r="L14" s="7">
        <v>0.0</v>
      </c>
      <c r="M14" s="2" t="s">
        <v>192</v>
      </c>
      <c r="N14" s="9" t="s">
        <v>193</v>
      </c>
      <c r="O14" s="2" t="s">
        <v>197</v>
      </c>
      <c r="P14" s="2" t="s">
        <v>198</v>
      </c>
      <c r="R14" s="2" t="s">
        <v>50</v>
      </c>
      <c r="S14" s="2" t="s">
        <v>51</v>
      </c>
      <c r="T14" s="2" t="s">
        <v>199</v>
      </c>
      <c r="U14" s="2" t="s">
        <v>52</v>
      </c>
      <c r="V14" s="2" t="s">
        <v>200</v>
      </c>
    </row>
    <row r="15">
      <c r="A15" s="2" t="s">
        <v>201</v>
      </c>
      <c r="B15" s="2" t="s">
        <v>202</v>
      </c>
      <c r="C15" s="2" t="s">
        <v>203</v>
      </c>
      <c r="D15" s="2" t="s">
        <v>204</v>
      </c>
      <c r="E15" s="7">
        <v>2025.0</v>
      </c>
      <c r="F15" s="2" t="s">
        <v>205</v>
      </c>
      <c r="G15" s="7">
        <v>19.0</v>
      </c>
      <c r="H15" s="7">
        <v>14.0</v>
      </c>
      <c r="I15" s="7">
        <v>1201.0</v>
      </c>
      <c r="J15" s="8"/>
      <c r="K15" s="8"/>
      <c r="L15" s="7">
        <v>0.0</v>
      </c>
      <c r="M15" s="2" t="s">
        <v>206</v>
      </c>
      <c r="N15" s="9" t="s">
        <v>207</v>
      </c>
      <c r="O15" s="2" t="s">
        <v>214</v>
      </c>
      <c r="P15" s="2" t="s">
        <v>215</v>
      </c>
      <c r="Q15" s="2" t="s">
        <v>216</v>
      </c>
      <c r="R15" s="2" t="s">
        <v>50</v>
      </c>
      <c r="S15" s="2" t="s">
        <v>51</v>
      </c>
      <c r="T15" s="2" t="s">
        <v>199</v>
      </c>
      <c r="U15" s="2" t="s">
        <v>52</v>
      </c>
      <c r="V15" s="2" t="s">
        <v>217</v>
      </c>
    </row>
    <row r="16">
      <c r="A16" s="2" t="s">
        <v>218</v>
      </c>
      <c r="B16" s="2" t="s">
        <v>219</v>
      </c>
      <c r="C16" s="2" t="s">
        <v>220</v>
      </c>
      <c r="D16" s="2" t="s">
        <v>221</v>
      </c>
      <c r="E16" s="7">
        <v>2025.0</v>
      </c>
      <c r="F16" s="2" t="s">
        <v>222</v>
      </c>
      <c r="G16" s="7">
        <v>12.0</v>
      </c>
      <c r="H16" s="7">
        <v>4.0</v>
      </c>
      <c r="I16" s="8"/>
      <c r="J16" s="7">
        <v>812.0</v>
      </c>
      <c r="K16" s="7">
        <v>829.0</v>
      </c>
      <c r="L16" s="7">
        <v>1.0</v>
      </c>
      <c r="M16" s="2" t="s">
        <v>223</v>
      </c>
      <c r="N16" s="9" t="s">
        <v>224</v>
      </c>
      <c r="O16" s="2" t="s">
        <v>226</v>
      </c>
      <c r="P16" s="2" t="s">
        <v>228</v>
      </c>
      <c r="Q16" s="2" t="s">
        <v>230</v>
      </c>
      <c r="R16" s="2" t="s">
        <v>50</v>
      </c>
      <c r="S16" s="2" t="s">
        <v>51</v>
      </c>
      <c r="T16" s="2" t="s">
        <v>170</v>
      </c>
      <c r="U16" s="2" t="s">
        <v>52</v>
      </c>
      <c r="V16" s="2" t="s">
        <v>232</v>
      </c>
    </row>
    <row r="17">
      <c r="A17" s="2" t="s">
        <v>233</v>
      </c>
      <c r="B17" s="2" t="s">
        <v>234</v>
      </c>
      <c r="C17" s="2" t="s">
        <v>235</v>
      </c>
      <c r="D17" s="2" t="s">
        <v>236</v>
      </c>
      <c r="E17" s="7">
        <v>2025.0</v>
      </c>
      <c r="F17" s="2" t="s">
        <v>237</v>
      </c>
      <c r="G17" s="7">
        <v>11.0</v>
      </c>
      <c r="H17" s="7">
        <v>10.0</v>
      </c>
      <c r="I17" s="7">
        <v>358.0</v>
      </c>
      <c r="J17" s="8"/>
      <c r="K17" s="8"/>
      <c r="L17" s="7">
        <v>0.0</v>
      </c>
      <c r="M17" s="2" t="s">
        <v>238</v>
      </c>
      <c r="N17" s="9" t="s">
        <v>239</v>
      </c>
      <c r="O17" s="2" t="s">
        <v>244</v>
      </c>
      <c r="P17" s="2" t="s">
        <v>245</v>
      </c>
      <c r="Q17" s="2" t="s">
        <v>246</v>
      </c>
      <c r="R17" s="2" t="s">
        <v>50</v>
      </c>
      <c r="S17" s="2" t="s">
        <v>51</v>
      </c>
      <c r="T17" s="2" t="s">
        <v>141</v>
      </c>
      <c r="U17" s="2" t="s">
        <v>52</v>
      </c>
      <c r="V17" s="2" t="s">
        <v>247</v>
      </c>
    </row>
    <row r="18">
      <c r="A18" s="2" t="s">
        <v>248</v>
      </c>
      <c r="B18" s="2" t="s">
        <v>249</v>
      </c>
      <c r="C18" s="2" t="s">
        <v>250</v>
      </c>
      <c r="D18" s="2" t="s">
        <v>251</v>
      </c>
      <c r="E18" s="7">
        <v>2025.0</v>
      </c>
      <c r="F18" s="2" t="s">
        <v>191</v>
      </c>
      <c r="G18" s="7">
        <v>18.0</v>
      </c>
      <c r="H18" s="7">
        <v>8.0</v>
      </c>
      <c r="I18" s="8"/>
      <c r="J18" s="7">
        <v>298.0</v>
      </c>
      <c r="K18" s="7">
        <v>315.0</v>
      </c>
      <c r="L18" s="7">
        <v>0.0</v>
      </c>
      <c r="M18" s="2" t="s">
        <v>252</v>
      </c>
      <c r="N18" s="9" t="s">
        <v>253</v>
      </c>
      <c r="O18" s="2" t="s">
        <v>260</v>
      </c>
      <c r="P18" s="2" t="s">
        <v>261</v>
      </c>
      <c r="R18" s="2" t="s">
        <v>50</v>
      </c>
      <c r="S18" s="2" t="s">
        <v>51</v>
      </c>
      <c r="T18" s="2" t="s">
        <v>199</v>
      </c>
      <c r="U18" s="2" t="s">
        <v>52</v>
      </c>
      <c r="V18" s="2" t="s">
        <v>263</v>
      </c>
    </row>
    <row r="19">
      <c r="A19" s="2" t="s">
        <v>264</v>
      </c>
      <c r="B19" s="2" t="s">
        <v>265</v>
      </c>
      <c r="C19" s="2" t="s">
        <v>266</v>
      </c>
      <c r="D19" s="2" t="s">
        <v>267</v>
      </c>
      <c r="E19" s="7">
        <v>2025.0</v>
      </c>
      <c r="F19" s="2" t="s">
        <v>268</v>
      </c>
      <c r="G19" s="7">
        <v>35.0</v>
      </c>
      <c r="H19" s="7">
        <v>5.0</v>
      </c>
      <c r="I19" s="2" t="s">
        <v>269</v>
      </c>
      <c r="J19" s="8"/>
      <c r="K19" s="8"/>
      <c r="L19" s="7">
        <v>0.0</v>
      </c>
      <c r="M19" s="2" t="s">
        <v>270</v>
      </c>
      <c r="N19" s="9" t="s">
        <v>271</v>
      </c>
      <c r="O19" s="2" t="s">
        <v>275</v>
      </c>
      <c r="P19" s="2" t="s">
        <v>276</v>
      </c>
      <c r="Q19" s="2" t="s">
        <v>277</v>
      </c>
      <c r="R19" s="2" t="s">
        <v>50</v>
      </c>
      <c r="S19" s="2" t="s">
        <v>51</v>
      </c>
      <c r="T19" s="8"/>
      <c r="U19" s="2" t="s">
        <v>52</v>
      </c>
      <c r="V19" s="2" t="s">
        <v>279</v>
      </c>
    </row>
    <row r="20">
      <c r="A20" s="2" t="s">
        <v>281</v>
      </c>
      <c r="B20" s="2" t="s">
        <v>282</v>
      </c>
      <c r="C20" s="2" t="s">
        <v>283</v>
      </c>
      <c r="D20" s="2" t="s">
        <v>284</v>
      </c>
      <c r="E20" s="7">
        <v>2025.0</v>
      </c>
      <c r="F20" s="2" t="s">
        <v>285</v>
      </c>
      <c r="G20" s="7">
        <v>15.0</v>
      </c>
      <c r="H20" s="7">
        <v>15.0</v>
      </c>
      <c r="I20" s="7">
        <v>8448.0</v>
      </c>
      <c r="J20" s="8"/>
      <c r="K20" s="8"/>
      <c r="L20" s="7">
        <v>1.0</v>
      </c>
      <c r="M20" s="2" t="s">
        <v>286</v>
      </c>
      <c r="N20" s="9" t="s">
        <v>287</v>
      </c>
      <c r="O20" s="2" t="s">
        <v>296</v>
      </c>
      <c r="P20" s="2" t="s">
        <v>298</v>
      </c>
      <c r="Q20" s="2" t="s">
        <v>300</v>
      </c>
      <c r="R20" s="2" t="s">
        <v>50</v>
      </c>
      <c r="S20" s="2" t="s">
        <v>51</v>
      </c>
      <c r="T20" s="2" t="s">
        <v>170</v>
      </c>
      <c r="U20" s="2" t="s">
        <v>52</v>
      </c>
      <c r="V20" s="2" t="s">
        <v>302</v>
      </c>
    </row>
    <row r="21">
      <c r="A21" s="2" t="s">
        <v>304</v>
      </c>
      <c r="B21" s="2" t="s">
        <v>305</v>
      </c>
      <c r="C21" s="2" t="s">
        <v>308</v>
      </c>
      <c r="D21" s="2" t="s">
        <v>310</v>
      </c>
      <c r="E21" s="7">
        <v>2025.0</v>
      </c>
      <c r="F21" s="2" t="s">
        <v>191</v>
      </c>
      <c r="G21" s="7">
        <v>18.0</v>
      </c>
      <c r="H21" s="7">
        <v>6.0</v>
      </c>
      <c r="I21" s="8"/>
      <c r="J21" s="7">
        <v>789.0</v>
      </c>
      <c r="K21" s="7">
        <v>801.0</v>
      </c>
      <c r="L21" s="7">
        <v>1.0</v>
      </c>
      <c r="M21" s="2" t="s">
        <v>313</v>
      </c>
      <c r="N21" s="9" t="s">
        <v>314</v>
      </c>
      <c r="O21" s="2" t="s">
        <v>329</v>
      </c>
      <c r="P21" s="2" t="s">
        <v>330</v>
      </c>
      <c r="R21" s="2" t="s">
        <v>50</v>
      </c>
      <c r="S21" s="2" t="s">
        <v>51</v>
      </c>
      <c r="T21" s="2" t="s">
        <v>199</v>
      </c>
      <c r="U21" s="2" t="s">
        <v>52</v>
      </c>
      <c r="V21" s="2" t="s">
        <v>334</v>
      </c>
    </row>
    <row r="22">
      <c r="A22" s="2" t="s">
        <v>338</v>
      </c>
      <c r="B22" s="2" t="s">
        <v>339</v>
      </c>
      <c r="C22" s="2" t="s">
        <v>341</v>
      </c>
      <c r="D22" s="2" t="s">
        <v>342</v>
      </c>
      <c r="E22" s="7">
        <v>2025.0</v>
      </c>
      <c r="F22" s="2" t="s">
        <v>345</v>
      </c>
      <c r="G22" s="7">
        <v>2025.0</v>
      </c>
      <c r="H22" s="8"/>
      <c r="I22" s="8"/>
      <c r="J22" s="7">
        <v>1.0</v>
      </c>
      <c r="K22" s="7">
        <v>6.0</v>
      </c>
      <c r="L22" s="7">
        <v>0.0</v>
      </c>
      <c r="M22" s="2" t="s">
        <v>351</v>
      </c>
      <c r="N22" s="9" t="s">
        <v>353</v>
      </c>
      <c r="O22" s="2" t="s">
        <v>366</v>
      </c>
      <c r="Q22" s="2" t="s">
        <v>367</v>
      </c>
      <c r="R22" s="2" t="s">
        <v>50</v>
      </c>
      <c r="S22" s="2" t="s">
        <v>51</v>
      </c>
      <c r="T22" s="8"/>
      <c r="U22" s="2" t="s">
        <v>52</v>
      </c>
      <c r="V22" s="2" t="s">
        <v>368</v>
      </c>
    </row>
    <row r="23">
      <c r="A23" s="2" t="s">
        <v>369</v>
      </c>
      <c r="B23" s="2" t="s">
        <v>370</v>
      </c>
      <c r="C23" s="2" t="s">
        <v>371</v>
      </c>
      <c r="D23" s="2" t="s">
        <v>372</v>
      </c>
      <c r="E23" s="7">
        <v>2025.0</v>
      </c>
      <c r="F23" s="2" t="s">
        <v>373</v>
      </c>
      <c r="G23" s="7">
        <v>84.0</v>
      </c>
      <c r="H23" s="7">
        <v>24.0</v>
      </c>
      <c r="I23" s="8"/>
      <c r="J23" s="7">
        <v>28225.0</v>
      </c>
      <c r="K23" s="7">
        <v>28263.0</v>
      </c>
      <c r="L23" s="7">
        <v>1.0</v>
      </c>
      <c r="M23" s="2" t="s">
        <v>376</v>
      </c>
      <c r="N23" s="9" t="s">
        <v>378</v>
      </c>
      <c r="O23" s="2" t="s">
        <v>379</v>
      </c>
      <c r="P23" s="2" t="s">
        <v>380</v>
      </c>
      <c r="Q23" s="2" t="s">
        <v>381</v>
      </c>
      <c r="R23" s="2" t="s">
        <v>50</v>
      </c>
      <c r="S23" s="2" t="s">
        <v>51</v>
      </c>
      <c r="T23" s="8"/>
      <c r="U23" s="2" t="s">
        <v>52</v>
      </c>
      <c r="V23" s="2" t="s">
        <v>383</v>
      </c>
    </row>
    <row r="24">
      <c r="A24" s="2" t="s">
        <v>384</v>
      </c>
      <c r="B24" s="2" t="s">
        <v>385</v>
      </c>
      <c r="C24" s="2" t="s">
        <v>386</v>
      </c>
      <c r="D24" s="2" t="s">
        <v>387</v>
      </c>
      <c r="E24" s="7">
        <v>2025.0</v>
      </c>
      <c r="F24" s="2" t="s">
        <v>388</v>
      </c>
      <c r="G24" s="7">
        <v>2.0</v>
      </c>
      <c r="H24" s="7">
        <v>2.0</v>
      </c>
      <c r="I24" s="7">
        <v>100053.0</v>
      </c>
      <c r="J24" s="8"/>
      <c r="K24" s="8"/>
      <c r="L24" s="7">
        <v>1.0</v>
      </c>
      <c r="M24" s="2" t="s">
        <v>389</v>
      </c>
      <c r="N24" s="9" t="s">
        <v>390</v>
      </c>
      <c r="O24" s="2" t="s">
        <v>393</v>
      </c>
      <c r="P24" s="2" t="s">
        <v>394</v>
      </c>
      <c r="R24" s="2" t="s">
        <v>50</v>
      </c>
      <c r="S24" s="2" t="s">
        <v>51</v>
      </c>
      <c r="T24" s="2" t="s">
        <v>170</v>
      </c>
      <c r="U24" s="2" t="s">
        <v>52</v>
      </c>
      <c r="V24" s="2" t="s">
        <v>395</v>
      </c>
    </row>
    <row r="25">
      <c r="A25" s="2" t="s">
        <v>396</v>
      </c>
      <c r="B25" s="2" t="s">
        <v>397</v>
      </c>
      <c r="C25" s="2" t="s">
        <v>398</v>
      </c>
      <c r="D25" s="2" t="s">
        <v>399</v>
      </c>
      <c r="E25" s="7">
        <v>2025.0</v>
      </c>
      <c r="F25" s="2" t="s">
        <v>400</v>
      </c>
      <c r="G25" s="7">
        <v>12.0</v>
      </c>
      <c r="H25" s="7">
        <v>6.0</v>
      </c>
      <c r="I25" s="7">
        <v>640.0</v>
      </c>
      <c r="J25" s="8"/>
      <c r="K25" s="8"/>
      <c r="L25" s="7">
        <v>1.0</v>
      </c>
      <c r="M25" s="2" t="s">
        <v>401</v>
      </c>
      <c r="N25" s="9" t="s">
        <v>402</v>
      </c>
      <c r="O25" s="2" t="s">
        <v>405</v>
      </c>
      <c r="P25" s="2" t="s">
        <v>406</v>
      </c>
      <c r="R25" s="2" t="s">
        <v>50</v>
      </c>
      <c r="S25" s="2" t="s">
        <v>51</v>
      </c>
      <c r="T25" s="2" t="s">
        <v>141</v>
      </c>
      <c r="U25" s="2" t="s">
        <v>52</v>
      </c>
      <c r="V25" s="2" t="s">
        <v>407</v>
      </c>
    </row>
    <row r="26">
      <c r="A26" s="2" t="s">
        <v>408</v>
      </c>
      <c r="B26" s="2" t="s">
        <v>409</v>
      </c>
      <c r="C26" s="2" t="s">
        <v>410</v>
      </c>
      <c r="D26" s="2" t="s">
        <v>411</v>
      </c>
      <c r="E26" s="7">
        <v>2025.0</v>
      </c>
      <c r="F26" s="2" t="s">
        <v>412</v>
      </c>
      <c r="G26" s="7">
        <v>38.0</v>
      </c>
      <c r="H26" s="7">
        <v>3.0</v>
      </c>
      <c r="I26" s="8"/>
      <c r="J26" s="7">
        <v>1434.0</v>
      </c>
      <c r="K26" s="7">
        <v>1451.0</v>
      </c>
      <c r="L26" s="7">
        <v>4.0</v>
      </c>
      <c r="M26" s="2" t="s">
        <v>413</v>
      </c>
      <c r="N26" s="9" t="s">
        <v>414</v>
      </c>
      <c r="O26" s="2" t="s">
        <v>418</v>
      </c>
      <c r="P26" s="2" t="s">
        <v>419</v>
      </c>
      <c r="Q26" s="2" t="s">
        <v>420</v>
      </c>
      <c r="R26" s="2" t="s">
        <v>50</v>
      </c>
      <c r="S26" s="2" t="s">
        <v>51</v>
      </c>
      <c r="T26" s="2" t="s">
        <v>421</v>
      </c>
      <c r="U26" s="2" t="s">
        <v>52</v>
      </c>
      <c r="V26" s="2" t="s">
        <v>422</v>
      </c>
    </row>
    <row r="27">
      <c r="A27" s="2" t="s">
        <v>423</v>
      </c>
      <c r="B27" s="2" t="s">
        <v>424</v>
      </c>
      <c r="C27" s="2" t="s">
        <v>425</v>
      </c>
      <c r="D27" s="2" t="s">
        <v>426</v>
      </c>
      <c r="E27" s="7">
        <v>2025.0</v>
      </c>
      <c r="F27" s="2" t="s">
        <v>427</v>
      </c>
      <c r="G27" s="7">
        <v>269.0</v>
      </c>
      <c r="H27" s="8"/>
      <c r="I27" s="7">
        <v>126223.0</v>
      </c>
      <c r="J27" s="8"/>
      <c r="K27" s="8"/>
      <c r="L27" s="7">
        <v>13.0</v>
      </c>
      <c r="M27" s="2" t="s">
        <v>428</v>
      </c>
      <c r="N27" s="9" t="s">
        <v>429</v>
      </c>
      <c r="O27" s="2" t="s">
        <v>433</v>
      </c>
      <c r="P27" s="2" t="s">
        <v>434</v>
      </c>
      <c r="Q27" s="2" t="s">
        <v>435</v>
      </c>
      <c r="R27" s="2" t="s">
        <v>50</v>
      </c>
      <c r="S27" s="2" t="s">
        <v>51</v>
      </c>
      <c r="T27" s="8"/>
      <c r="U27" s="2" t="s">
        <v>52</v>
      </c>
      <c r="V27" s="2" t="s">
        <v>436</v>
      </c>
    </row>
    <row r="28">
      <c r="A28" s="2" t="s">
        <v>437</v>
      </c>
      <c r="B28" s="2" t="s">
        <v>438</v>
      </c>
      <c r="C28" s="2" t="s">
        <v>439</v>
      </c>
      <c r="D28" s="2" t="s">
        <v>440</v>
      </c>
      <c r="E28" s="7">
        <v>2025.0</v>
      </c>
      <c r="F28" s="2" t="s">
        <v>427</v>
      </c>
      <c r="G28" s="7">
        <v>263.0</v>
      </c>
      <c r="H28" s="8"/>
      <c r="I28" s="7">
        <v>125738.0</v>
      </c>
      <c r="J28" s="8"/>
      <c r="K28" s="8"/>
      <c r="L28" s="7">
        <v>10.0</v>
      </c>
      <c r="M28" s="2" t="s">
        <v>441</v>
      </c>
      <c r="N28" s="9" t="s">
        <v>442</v>
      </c>
      <c r="O28" s="2" t="s">
        <v>443</v>
      </c>
      <c r="P28" s="2" t="s">
        <v>444</v>
      </c>
      <c r="Q28" s="2" t="s">
        <v>445</v>
      </c>
      <c r="R28" s="2" t="s">
        <v>50</v>
      </c>
      <c r="S28" s="2" t="s">
        <v>51</v>
      </c>
      <c r="T28" s="8"/>
      <c r="U28" s="2" t="s">
        <v>52</v>
      </c>
      <c r="V28" s="2" t="s">
        <v>446</v>
      </c>
    </row>
    <row r="29">
      <c r="A29" s="2" t="s">
        <v>447</v>
      </c>
      <c r="B29" s="2" t="s">
        <v>448</v>
      </c>
      <c r="C29" s="2" t="s">
        <v>449</v>
      </c>
      <c r="D29" s="2" t="s">
        <v>450</v>
      </c>
      <c r="E29" s="7">
        <v>2025.0</v>
      </c>
      <c r="F29" s="2" t="s">
        <v>452</v>
      </c>
      <c r="G29" s="7">
        <v>142.0</v>
      </c>
      <c r="H29" s="8"/>
      <c r="I29" s="7">
        <v>109926.0</v>
      </c>
      <c r="J29" s="8"/>
      <c r="K29" s="8"/>
      <c r="L29" s="7">
        <v>4.0</v>
      </c>
      <c r="M29" s="2" t="s">
        <v>454</v>
      </c>
      <c r="N29" s="9" t="s">
        <v>456</v>
      </c>
      <c r="O29" s="2" t="s">
        <v>458</v>
      </c>
      <c r="P29" s="2" t="s">
        <v>459</v>
      </c>
      <c r="Q29" s="2" t="s">
        <v>460</v>
      </c>
      <c r="R29" s="2" t="s">
        <v>50</v>
      </c>
      <c r="S29" s="2" t="s">
        <v>51</v>
      </c>
      <c r="T29" s="8"/>
      <c r="U29" s="2" t="s">
        <v>52</v>
      </c>
      <c r="V29" s="2" t="s">
        <v>461</v>
      </c>
    </row>
    <row r="30">
      <c r="A30" s="2" t="s">
        <v>462</v>
      </c>
      <c r="B30" s="2" t="s">
        <v>463</v>
      </c>
      <c r="C30" s="2" t="s">
        <v>464</v>
      </c>
      <c r="D30" s="2" t="s">
        <v>465</v>
      </c>
      <c r="E30" s="7">
        <v>2025.0</v>
      </c>
      <c r="F30" s="2" t="s">
        <v>466</v>
      </c>
      <c r="G30" s="7">
        <v>21.0</v>
      </c>
      <c r="H30" s="7">
        <v>1.0</v>
      </c>
      <c r="I30" s="2" t="s">
        <v>467</v>
      </c>
      <c r="J30" s="8"/>
      <c r="K30" s="8"/>
      <c r="L30" s="7">
        <v>0.0</v>
      </c>
      <c r="M30" s="2" t="s">
        <v>468</v>
      </c>
      <c r="N30" s="9" t="s">
        <v>469</v>
      </c>
      <c r="O30" s="2" t="s">
        <v>473</v>
      </c>
      <c r="P30" s="2" t="s">
        <v>474</v>
      </c>
      <c r="Q30" s="2" t="s">
        <v>475</v>
      </c>
      <c r="R30" s="2" t="s">
        <v>50</v>
      </c>
      <c r="S30" s="2" t="s">
        <v>51</v>
      </c>
      <c r="T30" s="8"/>
      <c r="U30" s="2" t="s">
        <v>52</v>
      </c>
      <c r="V30" s="2" t="s">
        <v>476</v>
      </c>
    </row>
    <row r="31">
      <c r="A31" s="8"/>
      <c r="B31" s="8"/>
      <c r="C31" s="8"/>
      <c r="D31" s="2" t="s">
        <v>478</v>
      </c>
      <c r="E31" s="7">
        <v>2025.0</v>
      </c>
      <c r="F31" s="2" t="s">
        <v>479</v>
      </c>
      <c r="G31" s="7">
        <v>3159.0</v>
      </c>
      <c r="H31" s="7">
        <v>1.0</v>
      </c>
      <c r="I31" s="8"/>
      <c r="J31" s="8"/>
      <c r="K31" s="8"/>
      <c r="L31" s="7">
        <v>0.0</v>
      </c>
      <c r="M31" s="8"/>
      <c r="N31" s="9" t="s">
        <v>481</v>
      </c>
      <c r="O31" s="2" t="s">
        <v>484</v>
      </c>
      <c r="R31" s="2" t="s">
        <v>104</v>
      </c>
      <c r="S31" s="2" t="s">
        <v>51</v>
      </c>
      <c r="T31" s="8"/>
      <c r="U31" s="2" t="s">
        <v>52</v>
      </c>
      <c r="V31" s="2" t="s">
        <v>486</v>
      </c>
    </row>
    <row r="32">
      <c r="A32" s="8"/>
      <c r="B32" s="8"/>
      <c r="C32" s="8"/>
      <c r="D32" s="2" t="s">
        <v>487</v>
      </c>
      <c r="E32" s="7">
        <v>2025.0</v>
      </c>
      <c r="F32" s="2" t="s">
        <v>76</v>
      </c>
      <c r="G32" s="2" t="s">
        <v>488</v>
      </c>
      <c r="H32" s="8"/>
      <c r="I32" s="8"/>
      <c r="J32" s="8"/>
      <c r="K32" s="8"/>
      <c r="L32" s="7">
        <v>0.0</v>
      </c>
      <c r="M32" s="8"/>
      <c r="N32" s="9" t="s">
        <v>489</v>
      </c>
      <c r="O32" s="2" t="s">
        <v>490</v>
      </c>
      <c r="R32" s="2" t="s">
        <v>104</v>
      </c>
      <c r="S32" s="2" t="s">
        <v>51</v>
      </c>
      <c r="T32" s="8"/>
      <c r="U32" s="2" t="s">
        <v>52</v>
      </c>
      <c r="V32" s="2" t="s">
        <v>491</v>
      </c>
    </row>
    <row r="33">
      <c r="A33" s="2" t="s">
        <v>492</v>
      </c>
      <c r="B33" s="2" t="s">
        <v>493</v>
      </c>
      <c r="C33" s="2" t="s">
        <v>494</v>
      </c>
      <c r="D33" s="2" t="s">
        <v>495</v>
      </c>
      <c r="E33" s="7">
        <v>2025.0</v>
      </c>
      <c r="F33" s="2" t="s">
        <v>497</v>
      </c>
      <c r="G33" s="7">
        <v>52.0</v>
      </c>
      <c r="H33" s="7">
        <v>3.0</v>
      </c>
      <c r="I33" s="8"/>
      <c r="J33" s="7">
        <v>848.0</v>
      </c>
      <c r="K33" s="7">
        <v>861.0</v>
      </c>
      <c r="L33" s="7">
        <v>1.0</v>
      </c>
      <c r="M33" s="8"/>
      <c r="N33" s="9" t="s">
        <v>499</v>
      </c>
      <c r="O33" s="2" t="s">
        <v>504</v>
      </c>
      <c r="P33" s="2" t="s">
        <v>505</v>
      </c>
      <c r="Q33" s="2" t="s">
        <v>506</v>
      </c>
      <c r="R33" s="2" t="s">
        <v>50</v>
      </c>
      <c r="S33" s="2" t="s">
        <v>51</v>
      </c>
      <c r="T33" s="8"/>
      <c r="U33" s="2" t="s">
        <v>52</v>
      </c>
      <c r="V33" s="2" t="s">
        <v>507</v>
      </c>
    </row>
    <row r="34">
      <c r="A34" s="2" t="s">
        <v>508</v>
      </c>
      <c r="B34" s="2" t="s">
        <v>509</v>
      </c>
      <c r="C34" s="2" t="s">
        <v>510</v>
      </c>
      <c r="D34" s="2" t="s">
        <v>511</v>
      </c>
      <c r="E34" s="7">
        <v>2025.0</v>
      </c>
      <c r="F34" s="2" t="s">
        <v>76</v>
      </c>
      <c r="G34" s="2" t="s">
        <v>512</v>
      </c>
      <c r="H34" s="8"/>
      <c r="I34" s="8"/>
      <c r="J34" s="7">
        <v>96.0</v>
      </c>
      <c r="K34" s="7">
        <v>106.0</v>
      </c>
      <c r="L34" s="7">
        <v>0.0</v>
      </c>
      <c r="M34" s="2" t="s">
        <v>513</v>
      </c>
      <c r="N34" s="9" t="s">
        <v>514</v>
      </c>
      <c r="O34" s="2" t="s">
        <v>518</v>
      </c>
      <c r="P34" s="2" t="s">
        <v>519</v>
      </c>
      <c r="Q34" s="2" t="s">
        <v>520</v>
      </c>
      <c r="R34" s="2" t="s">
        <v>83</v>
      </c>
      <c r="S34" s="2" t="s">
        <v>51</v>
      </c>
      <c r="T34" s="8"/>
      <c r="U34" s="2" t="s">
        <v>52</v>
      </c>
      <c r="V34" s="2" t="s">
        <v>521</v>
      </c>
    </row>
    <row r="35">
      <c r="A35" s="8"/>
      <c r="B35" s="8"/>
      <c r="C35" s="8"/>
      <c r="D35" s="2" t="s">
        <v>522</v>
      </c>
      <c r="E35" s="7">
        <v>2025.0</v>
      </c>
      <c r="F35" s="2" t="s">
        <v>76</v>
      </c>
      <c r="G35" s="2" t="s">
        <v>512</v>
      </c>
      <c r="H35" s="8"/>
      <c r="I35" s="8"/>
      <c r="J35" s="8"/>
      <c r="K35" s="8"/>
      <c r="L35" s="7">
        <v>0.0</v>
      </c>
      <c r="M35" s="8"/>
      <c r="N35" s="9" t="s">
        <v>524</v>
      </c>
      <c r="O35" s="2" t="s">
        <v>528</v>
      </c>
      <c r="R35" s="2" t="s">
        <v>104</v>
      </c>
      <c r="S35" s="2" t="s">
        <v>51</v>
      </c>
      <c r="T35" s="8"/>
      <c r="U35" s="2" t="s">
        <v>52</v>
      </c>
      <c r="V35" s="2" t="s">
        <v>529</v>
      </c>
    </row>
    <row r="36">
      <c r="A36" s="8"/>
      <c r="B36" s="8"/>
      <c r="C36" s="8"/>
      <c r="D36" s="2" t="s">
        <v>530</v>
      </c>
      <c r="E36" s="7">
        <v>2025.0</v>
      </c>
      <c r="F36" s="2" t="s">
        <v>531</v>
      </c>
      <c r="G36" s="2" t="s">
        <v>532</v>
      </c>
      <c r="H36" s="8"/>
      <c r="I36" s="8"/>
      <c r="J36" s="8"/>
      <c r="K36" s="8"/>
      <c r="L36" s="7">
        <v>0.0</v>
      </c>
      <c r="M36" s="8"/>
      <c r="N36" s="9" t="s">
        <v>534</v>
      </c>
      <c r="O36" s="2" t="s">
        <v>536</v>
      </c>
      <c r="R36" s="2" t="s">
        <v>104</v>
      </c>
      <c r="S36" s="2" t="s">
        <v>51</v>
      </c>
      <c r="T36" s="8"/>
      <c r="U36" s="2" t="s">
        <v>52</v>
      </c>
      <c r="V36" s="2" t="s">
        <v>537</v>
      </c>
    </row>
    <row r="37">
      <c r="A37" s="2" t="s">
        <v>538</v>
      </c>
      <c r="B37" s="2" t="s">
        <v>539</v>
      </c>
      <c r="C37" s="2" t="s">
        <v>541</v>
      </c>
      <c r="D37" s="2" t="s">
        <v>542</v>
      </c>
      <c r="E37" s="7">
        <v>2025.0</v>
      </c>
      <c r="F37" s="2" t="s">
        <v>543</v>
      </c>
      <c r="G37" s="7">
        <v>6.0</v>
      </c>
      <c r="H37" s="7">
        <v>8.0</v>
      </c>
      <c r="I37" s="8"/>
      <c r="J37" s="7">
        <v>2051.0</v>
      </c>
      <c r="K37" s="7">
        <v>2060.0</v>
      </c>
      <c r="L37" s="7">
        <v>2.0</v>
      </c>
      <c r="M37" s="2" t="s">
        <v>545</v>
      </c>
      <c r="N37" s="9" t="s">
        <v>547</v>
      </c>
      <c r="O37" s="2" t="s">
        <v>551</v>
      </c>
      <c r="P37" s="2" t="s">
        <v>553</v>
      </c>
      <c r="Q37" s="2" t="s">
        <v>554</v>
      </c>
      <c r="R37" s="2" t="s">
        <v>50</v>
      </c>
      <c r="S37" s="2" t="s">
        <v>51</v>
      </c>
      <c r="T37" s="2" t="s">
        <v>555</v>
      </c>
      <c r="U37" s="2" t="s">
        <v>52</v>
      </c>
      <c r="V37" s="2" t="s">
        <v>556</v>
      </c>
    </row>
    <row r="38">
      <c r="A38" s="2" t="s">
        <v>557</v>
      </c>
      <c r="B38" s="2" t="s">
        <v>558</v>
      </c>
      <c r="C38" s="2" t="s">
        <v>559</v>
      </c>
      <c r="D38" s="2" t="s">
        <v>560</v>
      </c>
      <c r="E38" s="7">
        <v>2025.0</v>
      </c>
      <c r="F38" s="2" t="s">
        <v>561</v>
      </c>
      <c r="G38" s="7">
        <v>26.0</v>
      </c>
      <c r="H38" s="7">
        <v>1.0</v>
      </c>
      <c r="I38" s="8"/>
      <c r="J38" s="7">
        <v>148.0</v>
      </c>
      <c r="K38" s="7">
        <v>168.0</v>
      </c>
      <c r="L38" s="7">
        <v>2.0</v>
      </c>
      <c r="M38" s="2" t="s">
        <v>562</v>
      </c>
      <c r="N38" s="9" t="s">
        <v>563</v>
      </c>
      <c r="O38" s="2" t="s">
        <v>564</v>
      </c>
      <c r="P38" s="2" t="s">
        <v>565</v>
      </c>
      <c r="R38" s="2" t="s">
        <v>50</v>
      </c>
      <c r="S38" s="2" t="s">
        <v>51</v>
      </c>
      <c r="T38" s="2" t="s">
        <v>170</v>
      </c>
      <c r="U38" s="2" t="s">
        <v>52</v>
      </c>
      <c r="V38" s="2" t="s">
        <v>567</v>
      </c>
    </row>
    <row r="39">
      <c r="A39" s="2" t="s">
        <v>569</v>
      </c>
      <c r="B39" s="2" t="s">
        <v>570</v>
      </c>
      <c r="C39" s="2" t="s">
        <v>571</v>
      </c>
      <c r="D39" s="2" t="s">
        <v>572</v>
      </c>
      <c r="E39" s="7">
        <v>2025.0</v>
      </c>
      <c r="F39" s="2" t="s">
        <v>400</v>
      </c>
      <c r="G39" s="7">
        <v>12.0</v>
      </c>
      <c r="H39" s="7">
        <v>1.0</v>
      </c>
      <c r="I39" s="7">
        <v>73.0</v>
      </c>
      <c r="J39" s="8"/>
      <c r="K39" s="8"/>
      <c r="L39" s="7">
        <v>4.0</v>
      </c>
      <c r="M39" s="2" t="s">
        <v>574</v>
      </c>
      <c r="N39" s="9" t="s">
        <v>576</v>
      </c>
      <c r="O39" s="2" t="s">
        <v>579</v>
      </c>
      <c r="P39" s="2" t="s">
        <v>580</v>
      </c>
      <c r="R39" s="2" t="s">
        <v>50</v>
      </c>
      <c r="S39" s="2" t="s">
        <v>51</v>
      </c>
      <c r="T39" s="2" t="s">
        <v>141</v>
      </c>
      <c r="U39" s="2" t="s">
        <v>52</v>
      </c>
      <c r="V39" s="2" t="s">
        <v>581</v>
      </c>
    </row>
    <row r="40">
      <c r="A40" s="2" t="s">
        <v>583</v>
      </c>
      <c r="B40" s="2" t="s">
        <v>584</v>
      </c>
      <c r="C40" s="2" t="s">
        <v>585</v>
      </c>
      <c r="D40" s="2" t="s">
        <v>586</v>
      </c>
      <c r="E40" s="7">
        <v>2025.0</v>
      </c>
      <c r="F40" s="2" t="s">
        <v>587</v>
      </c>
      <c r="G40" s="7">
        <v>35.0</v>
      </c>
      <c r="H40" s="7">
        <v>1.0</v>
      </c>
      <c r="I40" s="8"/>
      <c r="J40" s="7">
        <v>63.0</v>
      </c>
      <c r="K40" s="7">
        <v>76.0</v>
      </c>
      <c r="L40" s="7">
        <v>0.0</v>
      </c>
      <c r="M40" s="2" t="s">
        <v>588</v>
      </c>
      <c r="N40" s="9" t="s">
        <v>589</v>
      </c>
      <c r="O40" s="2" t="s">
        <v>592</v>
      </c>
      <c r="P40" s="2" t="s">
        <v>593</v>
      </c>
      <c r="R40" s="2" t="s">
        <v>50</v>
      </c>
      <c r="S40" s="2" t="s">
        <v>51</v>
      </c>
      <c r="T40" s="8"/>
      <c r="U40" s="2" t="s">
        <v>52</v>
      </c>
      <c r="V40" s="2" t="s">
        <v>594</v>
      </c>
    </row>
    <row r="41">
      <c r="A41" s="2" t="s">
        <v>596</v>
      </c>
      <c r="B41" s="2" t="s">
        <v>597</v>
      </c>
      <c r="C41" s="2" t="s">
        <v>598</v>
      </c>
      <c r="D41" s="2" t="s">
        <v>599</v>
      </c>
      <c r="E41" s="7">
        <v>2025.0</v>
      </c>
      <c r="F41" s="2" t="s">
        <v>76</v>
      </c>
      <c r="G41" s="2" t="s">
        <v>600</v>
      </c>
      <c r="H41" s="8"/>
      <c r="I41" s="8"/>
      <c r="J41" s="7">
        <v>283.0</v>
      </c>
      <c r="K41" s="7">
        <v>300.0</v>
      </c>
      <c r="L41" s="7">
        <v>0.0</v>
      </c>
      <c r="M41" s="2" t="s">
        <v>601</v>
      </c>
      <c r="N41" s="9" t="s">
        <v>602</v>
      </c>
      <c r="O41" s="2" t="s">
        <v>605</v>
      </c>
      <c r="P41" s="2" t="s">
        <v>606</v>
      </c>
      <c r="Q41" s="2" t="s">
        <v>607</v>
      </c>
      <c r="R41" s="2" t="s">
        <v>83</v>
      </c>
      <c r="S41" s="2" t="s">
        <v>51</v>
      </c>
      <c r="T41" s="8"/>
      <c r="U41" s="2" t="s">
        <v>52</v>
      </c>
      <c r="V41" s="2" t="s">
        <v>608</v>
      </c>
    </row>
    <row r="42">
      <c r="A42" s="2" t="s">
        <v>609</v>
      </c>
      <c r="B42" s="2" t="s">
        <v>610</v>
      </c>
      <c r="C42" s="2" t="s">
        <v>611</v>
      </c>
      <c r="D42" s="2" t="s">
        <v>612</v>
      </c>
      <c r="E42" s="7">
        <v>2025.0</v>
      </c>
      <c r="F42" s="8"/>
      <c r="G42" s="7">
        <v>1.0</v>
      </c>
      <c r="H42" s="8"/>
      <c r="I42" s="8"/>
      <c r="J42" s="7">
        <v>378.0</v>
      </c>
      <c r="K42" s="7">
        <v>383.0</v>
      </c>
      <c r="L42" s="7">
        <v>0.0</v>
      </c>
      <c r="M42" s="2" t="s">
        <v>613</v>
      </c>
      <c r="N42" s="9" t="s">
        <v>614</v>
      </c>
      <c r="O42" s="2" t="s">
        <v>622</v>
      </c>
      <c r="Q42" s="2" t="s">
        <v>623</v>
      </c>
      <c r="R42" s="2" t="s">
        <v>83</v>
      </c>
      <c r="S42" s="2" t="s">
        <v>51</v>
      </c>
      <c r="T42" s="8"/>
      <c r="U42" s="2" t="s">
        <v>52</v>
      </c>
      <c r="V42" s="2" t="s">
        <v>624</v>
      </c>
    </row>
    <row r="43">
      <c r="A43" s="8"/>
      <c r="B43" s="8"/>
      <c r="C43" s="8"/>
      <c r="D43" s="2" t="s">
        <v>625</v>
      </c>
      <c r="E43" s="7">
        <v>2025.0</v>
      </c>
      <c r="F43" s="2" t="s">
        <v>531</v>
      </c>
      <c r="G43" s="2" t="s">
        <v>626</v>
      </c>
      <c r="H43" s="8"/>
      <c r="I43" s="8"/>
      <c r="J43" s="8"/>
      <c r="K43" s="8"/>
      <c r="L43" s="7">
        <v>0.0</v>
      </c>
      <c r="M43" s="8"/>
      <c r="N43" s="9" t="s">
        <v>627</v>
      </c>
      <c r="O43" s="2" t="s">
        <v>631</v>
      </c>
      <c r="R43" s="2" t="s">
        <v>104</v>
      </c>
      <c r="S43" s="2" t="s">
        <v>51</v>
      </c>
      <c r="T43" s="8"/>
      <c r="U43" s="2" t="s">
        <v>52</v>
      </c>
      <c r="V43" s="2" t="s">
        <v>632</v>
      </c>
    </row>
    <row r="44">
      <c r="A44" s="2" t="s">
        <v>633</v>
      </c>
      <c r="B44" s="2" t="s">
        <v>634</v>
      </c>
      <c r="C44" s="2" t="s">
        <v>635</v>
      </c>
      <c r="D44" s="2" t="s">
        <v>498</v>
      </c>
      <c r="E44" s="7">
        <v>2025.0</v>
      </c>
      <c r="F44" s="2" t="s">
        <v>636</v>
      </c>
      <c r="G44" s="7">
        <v>28.0</v>
      </c>
      <c r="H44" s="7">
        <v>3.0</v>
      </c>
      <c r="I44" s="8"/>
      <c r="J44" s="7">
        <v>398.0</v>
      </c>
      <c r="K44" s="7">
        <v>409.0</v>
      </c>
      <c r="L44" s="7">
        <v>1.0</v>
      </c>
      <c r="M44" s="2" t="s">
        <v>637</v>
      </c>
      <c r="N44" s="9" t="s">
        <v>638</v>
      </c>
      <c r="O44" s="2" t="s">
        <v>644</v>
      </c>
      <c r="P44" s="2" t="s">
        <v>645</v>
      </c>
      <c r="Q44" s="2" t="s">
        <v>646</v>
      </c>
      <c r="R44" s="2" t="s">
        <v>50</v>
      </c>
      <c r="S44" s="2" t="s">
        <v>51</v>
      </c>
      <c r="T44" s="8"/>
      <c r="U44" s="2" t="s">
        <v>52</v>
      </c>
      <c r="V44" s="2" t="s">
        <v>647</v>
      </c>
    </row>
    <row r="45">
      <c r="A45" s="2" t="s">
        <v>648</v>
      </c>
      <c r="B45" s="2" t="s">
        <v>649</v>
      </c>
      <c r="C45" s="2" t="s">
        <v>650</v>
      </c>
      <c r="D45" s="2" t="s">
        <v>651</v>
      </c>
      <c r="E45" s="7">
        <v>2025.0</v>
      </c>
      <c r="F45" s="2" t="s">
        <v>652</v>
      </c>
      <c r="I45" s="8"/>
      <c r="J45" s="8"/>
      <c r="K45" s="8"/>
      <c r="L45" s="7">
        <v>0.0</v>
      </c>
      <c r="M45" s="2" t="s">
        <v>653</v>
      </c>
      <c r="N45" s="9" t="s">
        <v>654</v>
      </c>
      <c r="O45" s="2" t="s">
        <v>658</v>
      </c>
      <c r="P45" s="2" t="s">
        <v>659</v>
      </c>
      <c r="R45" s="2" t="s">
        <v>50</v>
      </c>
      <c r="S45" s="2" t="s">
        <v>661</v>
      </c>
      <c r="T45" s="8"/>
      <c r="U45" s="2" t="s">
        <v>52</v>
      </c>
      <c r="V45" s="2" t="s">
        <v>663</v>
      </c>
    </row>
    <row r="46">
      <c r="A46" s="8"/>
      <c r="B46" s="8"/>
      <c r="C46" s="8"/>
      <c r="D46" s="2" t="s">
        <v>665</v>
      </c>
      <c r="E46" s="7">
        <v>2025.0</v>
      </c>
      <c r="F46" s="2" t="s">
        <v>666</v>
      </c>
      <c r="G46" s="2" t="s">
        <v>667</v>
      </c>
      <c r="H46" s="8"/>
      <c r="I46" s="8"/>
      <c r="J46" s="8"/>
      <c r="K46" s="8"/>
      <c r="L46" s="7">
        <v>0.0</v>
      </c>
      <c r="M46" s="8"/>
      <c r="N46" s="9" t="s">
        <v>669</v>
      </c>
      <c r="O46" s="2" t="s">
        <v>674</v>
      </c>
      <c r="R46" s="2" t="s">
        <v>104</v>
      </c>
      <c r="S46" s="2" t="s">
        <v>51</v>
      </c>
      <c r="T46" s="8"/>
      <c r="U46" s="2" t="s">
        <v>52</v>
      </c>
      <c r="V46" s="2" t="s">
        <v>677</v>
      </c>
    </row>
    <row r="47">
      <c r="A47" s="2" t="s">
        <v>678</v>
      </c>
      <c r="B47" s="2" t="s">
        <v>680</v>
      </c>
      <c r="C47" s="2" t="s">
        <v>682</v>
      </c>
      <c r="D47" s="2" t="s">
        <v>684</v>
      </c>
      <c r="E47" s="7">
        <v>2025.0</v>
      </c>
      <c r="F47" s="2" t="s">
        <v>685</v>
      </c>
      <c r="G47" s="7">
        <v>13.0</v>
      </c>
      <c r="H47" s="8"/>
      <c r="I47" s="8"/>
      <c r="J47" s="7">
        <v>198938.0</v>
      </c>
      <c r="K47" s="7">
        <v>198951.0</v>
      </c>
      <c r="L47" s="7">
        <v>0.0</v>
      </c>
      <c r="M47" s="2" t="s">
        <v>687</v>
      </c>
      <c r="N47" s="9" t="s">
        <v>688</v>
      </c>
      <c r="O47" s="2" t="s">
        <v>700</v>
      </c>
      <c r="P47" s="2" t="s">
        <v>702</v>
      </c>
      <c r="Q47" s="2" t="s">
        <v>703</v>
      </c>
      <c r="R47" s="2" t="s">
        <v>50</v>
      </c>
      <c r="S47" s="2" t="s">
        <v>51</v>
      </c>
      <c r="T47" s="2" t="s">
        <v>170</v>
      </c>
      <c r="U47" s="2" t="s">
        <v>52</v>
      </c>
      <c r="V47" s="2" t="s">
        <v>705</v>
      </c>
    </row>
    <row r="48">
      <c r="A48" s="2" t="s">
        <v>707</v>
      </c>
      <c r="B48" s="2" t="s">
        <v>708</v>
      </c>
      <c r="C48" s="2" t="s">
        <v>709</v>
      </c>
      <c r="D48" s="2" t="s">
        <v>711</v>
      </c>
      <c r="E48" s="7">
        <v>2025.0</v>
      </c>
      <c r="F48" s="8"/>
      <c r="G48" s="8"/>
      <c r="H48" s="8"/>
      <c r="I48" s="8"/>
      <c r="J48" s="8"/>
      <c r="K48" s="8"/>
      <c r="L48" s="7">
        <v>0.0</v>
      </c>
      <c r="M48" s="2" t="s">
        <v>712</v>
      </c>
      <c r="N48" s="9" t="s">
        <v>714</v>
      </c>
      <c r="O48" s="2" t="s">
        <v>728</v>
      </c>
      <c r="P48" s="2" t="s">
        <v>730</v>
      </c>
      <c r="Q48" s="2" t="s">
        <v>732</v>
      </c>
      <c r="R48" s="2" t="s">
        <v>83</v>
      </c>
      <c r="S48" s="2" t="s">
        <v>51</v>
      </c>
      <c r="T48" s="8"/>
      <c r="U48" s="2" t="s">
        <v>52</v>
      </c>
      <c r="V48" s="2" t="s">
        <v>733</v>
      </c>
    </row>
    <row r="49">
      <c r="A49" s="2" t="s">
        <v>734</v>
      </c>
      <c r="B49" s="2" t="s">
        <v>735</v>
      </c>
      <c r="C49" s="2" t="s">
        <v>736</v>
      </c>
      <c r="D49" s="2" t="s">
        <v>738</v>
      </c>
      <c r="E49" s="7">
        <v>2025.0</v>
      </c>
      <c r="F49" s="2" t="s">
        <v>739</v>
      </c>
      <c r="G49" s="7">
        <v>33.0</v>
      </c>
      <c r="H49" s="7">
        <v>11.0</v>
      </c>
      <c r="I49" s="8"/>
      <c r="J49" s="7">
        <v>4558.0</v>
      </c>
      <c r="K49" s="7">
        <v>4567.0</v>
      </c>
      <c r="L49" s="7">
        <v>0.0</v>
      </c>
      <c r="M49" s="8"/>
      <c r="N49" s="9" t="s">
        <v>743</v>
      </c>
      <c r="O49" s="2" t="s">
        <v>760</v>
      </c>
      <c r="P49" s="2" t="s">
        <v>761</v>
      </c>
      <c r="Q49" s="2" t="s">
        <v>763</v>
      </c>
      <c r="R49" s="2" t="s">
        <v>50</v>
      </c>
      <c r="S49" s="2" t="s">
        <v>51</v>
      </c>
      <c r="T49" s="8"/>
      <c r="U49" s="2" t="s">
        <v>52</v>
      </c>
      <c r="V49" s="2" t="s">
        <v>766</v>
      </c>
    </row>
    <row r="50">
      <c r="A50" s="2" t="s">
        <v>767</v>
      </c>
      <c r="B50" s="2" t="s">
        <v>768</v>
      </c>
      <c r="C50" s="2" t="s">
        <v>769</v>
      </c>
      <c r="D50" s="2" t="s">
        <v>770</v>
      </c>
      <c r="E50" s="7">
        <v>2025.0</v>
      </c>
      <c r="F50" s="8"/>
      <c r="G50" s="8"/>
      <c r="H50" s="8"/>
      <c r="I50" s="8"/>
      <c r="J50" s="7">
        <v>1716.0</v>
      </c>
      <c r="K50" s="7">
        <v>1722.0</v>
      </c>
      <c r="L50" s="7">
        <v>0.0</v>
      </c>
      <c r="M50" s="2" t="s">
        <v>771</v>
      </c>
      <c r="N50" s="9" t="s">
        <v>772</v>
      </c>
      <c r="O50" s="2" t="s">
        <v>782</v>
      </c>
      <c r="P50" s="2" t="s">
        <v>783</v>
      </c>
      <c r="Q50" s="2" t="s">
        <v>784</v>
      </c>
      <c r="R50" s="2" t="s">
        <v>83</v>
      </c>
      <c r="S50" s="2" t="s">
        <v>51</v>
      </c>
      <c r="T50" s="8"/>
      <c r="U50" s="2" t="s">
        <v>52</v>
      </c>
      <c r="V50" s="2" t="s">
        <v>785</v>
      </c>
    </row>
    <row r="51">
      <c r="A51" s="2" t="s">
        <v>786</v>
      </c>
      <c r="B51" s="2" t="s">
        <v>790</v>
      </c>
      <c r="C51" s="2" t="s">
        <v>791</v>
      </c>
      <c r="D51" s="2" t="s">
        <v>792</v>
      </c>
      <c r="E51" s="7">
        <v>2025.0</v>
      </c>
      <c r="F51" s="2" t="s">
        <v>793</v>
      </c>
      <c r="I51" s="8"/>
      <c r="J51" s="8"/>
      <c r="K51" s="8"/>
      <c r="L51" s="7">
        <v>0.0</v>
      </c>
      <c r="M51" s="2" t="s">
        <v>794</v>
      </c>
      <c r="N51" s="9" t="s">
        <v>797</v>
      </c>
      <c r="O51" s="2" t="s">
        <v>811</v>
      </c>
      <c r="P51" s="2" t="s">
        <v>812</v>
      </c>
      <c r="Q51" s="2" t="s">
        <v>814</v>
      </c>
      <c r="R51" s="2" t="s">
        <v>83</v>
      </c>
      <c r="S51" s="2" t="s">
        <v>51</v>
      </c>
      <c r="T51" s="8"/>
      <c r="U51" s="2" t="s">
        <v>52</v>
      </c>
      <c r="V51" s="2" t="s">
        <v>815</v>
      </c>
    </row>
    <row r="52">
      <c r="A52" s="2" t="s">
        <v>816</v>
      </c>
      <c r="B52" s="2" t="s">
        <v>817</v>
      </c>
      <c r="C52" s="2" t="s">
        <v>818</v>
      </c>
      <c r="D52" s="2" t="s">
        <v>819</v>
      </c>
      <c r="E52" s="7">
        <v>2025.0</v>
      </c>
      <c r="F52" s="2" t="s">
        <v>820</v>
      </c>
      <c r="L52" s="7">
        <v>0.0</v>
      </c>
      <c r="M52" s="2" t="s">
        <v>822</v>
      </c>
      <c r="N52" s="9" t="s">
        <v>824</v>
      </c>
      <c r="O52" s="2" t="s">
        <v>839</v>
      </c>
      <c r="P52" s="2" t="s">
        <v>841</v>
      </c>
      <c r="R52" s="2" t="s">
        <v>50</v>
      </c>
      <c r="S52" s="2" t="s">
        <v>661</v>
      </c>
      <c r="T52" s="8"/>
      <c r="U52" s="2" t="s">
        <v>52</v>
      </c>
      <c r="V52" s="2" t="s">
        <v>843</v>
      </c>
    </row>
    <row r="53">
      <c r="A53" s="2" t="s">
        <v>845</v>
      </c>
      <c r="B53" s="2" t="s">
        <v>847</v>
      </c>
      <c r="C53" s="2" t="s">
        <v>848</v>
      </c>
      <c r="D53" s="2" t="s">
        <v>849</v>
      </c>
      <c r="E53" s="7">
        <v>2025.0</v>
      </c>
      <c r="F53" s="2" t="s">
        <v>850</v>
      </c>
      <c r="I53" s="8"/>
      <c r="J53" s="8"/>
      <c r="K53" s="8"/>
      <c r="L53" s="7">
        <v>0.0</v>
      </c>
      <c r="M53" s="2" t="s">
        <v>851</v>
      </c>
      <c r="N53" s="9" t="s">
        <v>852</v>
      </c>
      <c r="O53" s="2" t="s">
        <v>856</v>
      </c>
      <c r="P53" s="2" t="s">
        <v>857</v>
      </c>
      <c r="Q53" s="2" t="s">
        <v>858</v>
      </c>
      <c r="R53" s="2" t="s">
        <v>50</v>
      </c>
      <c r="S53" s="2" t="s">
        <v>661</v>
      </c>
      <c r="T53" s="8"/>
      <c r="U53" s="2" t="s">
        <v>52</v>
      </c>
      <c r="V53" s="2" t="s">
        <v>859</v>
      </c>
    </row>
    <row r="54">
      <c r="A54" s="2" t="s">
        <v>860</v>
      </c>
      <c r="B54" s="2" t="s">
        <v>861</v>
      </c>
      <c r="C54" s="2" t="s">
        <v>862</v>
      </c>
      <c r="D54" s="2" t="s">
        <v>863</v>
      </c>
      <c r="E54" s="7">
        <v>2025.0</v>
      </c>
      <c r="F54" s="2" t="s">
        <v>652</v>
      </c>
      <c r="I54" s="8"/>
      <c r="J54" s="8"/>
      <c r="K54" s="8"/>
      <c r="L54" s="7">
        <v>0.0</v>
      </c>
      <c r="M54" s="2" t="s">
        <v>865</v>
      </c>
      <c r="N54" s="9" t="s">
        <v>866</v>
      </c>
      <c r="O54" s="2" t="s">
        <v>871</v>
      </c>
      <c r="P54" s="2" t="s">
        <v>873</v>
      </c>
      <c r="R54" s="2" t="s">
        <v>50</v>
      </c>
      <c r="S54" s="2" t="s">
        <v>661</v>
      </c>
      <c r="T54" s="8"/>
      <c r="U54" s="2" t="s">
        <v>52</v>
      </c>
      <c r="V54" s="2" t="s">
        <v>875</v>
      </c>
    </row>
    <row r="55">
      <c r="A55" s="2" t="s">
        <v>876</v>
      </c>
      <c r="B55" s="2" t="s">
        <v>877</v>
      </c>
      <c r="C55" s="2" t="s">
        <v>878</v>
      </c>
      <c r="D55" s="2" t="s">
        <v>879</v>
      </c>
      <c r="E55" s="7">
        <v>2025.0</v>
      </c>
      <c r="F55" s="8"/>
      <c r="G55" s="8"/>
      <c r="H55" s="8"/>
      <c r="I55" s="8"/>
      <c r="J55" s="8"/>
      <c r="K55" s="8"/>
      <c r="L55" s="7">
        <v>0.0</v>
      </c>
      <c r="M55" s="2" t="s">
        <v>880</v>
      </c>
      <c r="N55" s="9" t="s">
        <v>881</v>
      </c>
      <c r="O55" s="2" t="s">
        <v>883</v>
      </c>
      <c r="P55" s="2" t="s">
        <v>884</v>
      </c>
      <c r="Q55" s="2" t="s">
        <v>886</v>
      </c>
      <c r="R55" s="2" t="s">
        <v>83</v>
      </c>
      <c r="S55" s="2" t="s">
        <v>51</v>
      </c>
      <c r="T55" s="8"/>
      <c r="U55" s="2" t="s">
        <v>52</v>
      </c>
      <c r="V55" s="2" t="s">
        <v>887</v>
      </c>
    </row>
    <row r="56">
      <c r="A56" s="2" t="s">
        <v>888</v>
      </c>
      <c r="B56" s="2" t="s">
        <v>889</v>
      </c>
      <c r="C56" s="2" t="s">
        <v>890</v>
      </c>
      <c r="D56" s="2" t="s">
        <v>891</v>
      </c>
      <c r="E56" s="7">
        <v>2025.0</v>
      </c>
      <c r="F56" s="2" t="s">
        <v>892</v>
      </c>
      <c r="H56" s="7">
        <v>2025.0</v>
      </c>
      <c r="I56" s="8"/>
      <c r="J56" s="7">
        <v>13.0</v>
      </c>
      <c r="K56" s="7">
        <v>18.0</v>
      </c>
      <c r="L56" s="7">
        <v>0.0</v>
      </c>
      <c r="M56" s="2" t="s">
        <v>893</v>
      </c>
      <c r="N56" s="9" t="s">
        <v>894</v>
      </c>
      <c r="O56" s="2" t="s">
        <v>898</v>
      </c>
      <c r="P56" s="2" t="s">
        <v>899</v>
      </c>
      <c r="Q56" s="2" t="s">
        <v>900</v>
      </c>
      <c r="R56" s="2" t="s">
        <v>83</v>
      </c>
      <c r="S56" s="2" t="s">
        <v>51</v>
      </c>
      <c r="T56" s="8"/>
      <c r="U56" s="2" t="s">
        <v>52</v>
      </c>
      <c r="V56" s="2" t="s">
        <v>901</v>
      </c>
    </row>
    <row r="57">
      <c r="A57" s="2" t="s">
        <v>902</v>
      </c>
      <c r="B57" s="2" t="s">
        <v>903</v>
      </c>
      <c r="C57" s="2" t="s">
        <v>904</v>
      </c>
      <c r="D57" s="2" t="s">
        <v>905</v>
      </c>
      <c r="E57" s="7">
        <v>2025.0</v>
      </c>
      <c r="F57" s="2" t="s">
        <v>191</v>
      </c>
      <c r="G57" s="7">
        <v>18.0</v>
      </c>
      <c r="H57" s="7">
        <v>7.0</v>
      </c>
      <c r="I57" s="8"/>
      <c r="J57" s="7">
        <v>514.0</v>
      </c>
      <c r="K57" s="7">
        <v>535.0</v>
      </c>
      <c r="L57" s="7">
        <v>0.0</v>
      </c>
      <c r="M57" s="2" t="s">
        <v>906</v>
      </c>
      <c r="N57" s="9" t="s">
        <v>907</v>
      </c>
      <c r="O57" s="2" t="s">
        <v>909</v>
      </c>
      <c r="P57" s="2" t="s">
        <v>910</v>
      </c>
      <c r="R57" s="2" t="s">
        <v>50</v>
      </c>
      <c r="S57" s="2" t="s">
        <v>51</v>
      </c>
      <c r="T57" s="8"/>
      <c r="U57" s="2" t="s">
        <v>52</v>
      </c>
      <c r="V57" s="2" t="s">
        <v>912</v>
      </c>
    </row>
    <row r="58">
      <c r="A58" s="2" t="s">
        <v>913</v>
      </c>
      <c r="B58" s="2" t="s">
        <v>914</v>
      </c>
      <c r="C58" s="2" t="s">
        <v>916</v>
      </c>
      <c r="D58" s="2" t="s">
        <v>917</v>
      </c>
      <c r="E58" s="7">
        <v>2025.0</v>
      </c>
      <c r="F58" s="2" t="s">
        <v>685</v>
      </c>
      <c r="G58" s="7">
        <v>13.0</v>
      </c>
      <c r="H58" s="8"/>
      <c r="I58" s="8"/>
      <c r="J58" s="7">
        <v>145714.0</v>
      </c>
      <c r="K58" s="7">
        <v>145735.0</v>
      </c>
      <c r="L58" s="7">
        <v>0.0</v>
      </c>
      <c r="M58" s="2" t="s">
        <v>918</v>
      </c>
      <c r="N58" s="9" t="s">
        <v>919</v>
      </c>
      <c r="O58" s="2" t="s">
        <v>923</v>
      </c>
      <c r="P58" s="2" t="s">
        <v>924</v>
      </c>
      <c r="Q58" s="2" t="s">
        <v>925</v>
      </c>
      <c r="R58" s="2" t="s">
        <v>926</v>
      </c>
      <c r="S58" s="2" t="s">
        <v>51</v>
      </c>
      <c r="T58" s="2" t="s">
        <v>170</v>
      </c>
      <c r="U58" s="2" t="s">
        <v>52</v>
      </c>
      <c r="V58" s="2" t="s">
        <v>927</v>
      </c>
    </row>
    <row r="59">
      <c r="A59" s="2" t="s">
        <v>928</v>
      </c>
      <c r="B59" s="2" t="s">
        <v>929</v>
      </c>
      <c r="C59" s="2" t="s">
        <v>930</v>
      </c>
      <c r="D59" s="2" t="s">
        <v>931</v>
      </c>
      <c r="E59" s="7">
        <v>2025.0</v>
      </c>
      <c r="F59" s="2" t="s">
        <v>685</v>
      </c>
      <c r="G59" s="7">
        <v>13.0</v>
      </c>
      <c r="H59" s="8"/>
      <c r="I59" s="8"/>
      <c r="J59" s="7">
        <v>137851.0</v>
      </c>
      <c r="K59" s="7">
        <v>137868.0</v>
      </c>
      <c r="L59" s="7">
        <v>0.0</v>
      </c>
      <c r="M59" s="2" t="s">
        <v>932</v>
      </c>
      <c r="N59" s="9" t="s">
        <v>933</v>
      </c>
      <c r="O59" s="2" t="s">
        <v>936</v>
      </c>
      <c r="P59" s="2" t="s">
        <v>937</v>
      </c>
      <c r="Q59" s="2" t="s">
        <v>938</v>
      </c>
      <c r="R59" s="2" t="s">
        <v>50</v>
      </c>
      <c r="S59" s="2" t="s">
        <v>51</v>
      </c>
      <c r="T59" s="2" t="s">
        <v>170</v>
      </c>
      <c r="U59" s="2" t="s">
        <v>52</v>
      </c>
      <c r="V59" s="2" t="s">
        <v>939</v>
      </c>
    </row>
    <row r="60">
      <c r="A60" s="2" t="s">
        <v>940</v>
      </c>
      <c r="B60" s="2" t="s">
        <v>941</v>
      </c>
      <c r="C60" s="2" t="s">
        <v>942</v>
      </c>
      <c r="D60" s="2" t="s">
        <v>943</v>
      </c>
      <c r="E60" s="7">
        <v>2025.0</v>
      </c>
      <c r="F60" s="2" t="s">
        <v>944</v>
      </c>
      <c r="G60" s="7">
        <v>2025.0</v>
      </c>
      <c r="H60" s="7">
        <v>7.0</v>
      </c>
      <c r="I60" s="8"/>
      <c r="J60" s="7">
        <v>222.0</v>
      </c>
      <c r="K60" s="7">
        <v>227.0</v>
      </c>
      <c r="L60" s="7">
        <v>0.0</v>
      </c>
      <c r="M60" s="2" t="s">
        <v>946</v>
      </c>
      <c r="N60" s="9" t="s">
        <v>948</v>
      </c>
      <c r="O60" s="2" t="s">
        <v>951</v>
      </c>
      <c r="P60" s="2" t="s">
        <v>952</v>
      </c>
      <c r="Q60" s="2" t="s">
        <v>953</v>
      </c>
      <c r="R60" s="2" t="s">
        <v>83</v>
      </c>
      <c r="S60" s="2" t="s">
        <v>51</v>
      </c>
      <c r="T60" s="8"/>
      <c r="U60" s="2" t="s">
        <v>52</v>
      </c>
      <c r="V60" s="2" t="s">
        <v>954</v>
      </c>
    </row>
    <row r="61">
      <c r="A61" s="2" t="s">
        <v>955</v>
      </c>
      <c r="B61" s="2" t="s">
        <v>956</v>
      </c>
      <c r="C61" s="7">
        <v>6.00077746E10</v>
      </c>
      <c r="D61" s="2" t="s">
        <v>958</v>
      </c>
      <c r="E61" s="7">
        <v>2025.0</v>
      </c>
      <c r="F61" s="8"/>
      <c r="G61" s="8"/>
      <c r="H61" s="8"/>
      <c r="I61" s="8"/>
      <c r="J61" s="7">
        <v>488.0</v>
      </c>
      <c r="K61" s="7">
        <v>494.0</v>
      </c>
      <c r="L61" s="7">
        <v>0.0</v>
      </c>
      <c r="M61" s="2" t="s">
        <v>962</v>
      </c>
      <c r="N61" s="9" t="s">
        <v>964</v>
      </c>
      <c r="O61" s="2" t="s">
        <v>965</v>
      </c>
      <c r="P61" s="2" t="s">
        <v>966</v>
      </c>
      <c r="Q61" s="2" t="s">
        <v>967</v>
      </c>
      <c r="R61" s="2" t="s">
        <v>83</v>
      </c>
      <c r="S61" s="2" t="s">
        <v>51</v>
      </c>
      <c r="T61" s="8"/>
      <c r="U61" s="2" t="s">
        <v>52</v>
      </c>
      <c r="V61" s="2" t="s">
        <v>968</v>
      </c>
    </row>
    <row r="62">
      <c r="A62" s="2" t="s">
        <v>970</v>
      </c>
      <c r="B62" s="2" t="s">
        <v>972</v>
      </c>
      <c r="C62" s="2" t="s">
        <v>973</v>
      </c>
      <c r="D62" s="2" t="s">
        <v>974</v>
      </c>
      <c r="E62" s="7">
        <v>2025.0</v>
      </c>
      <c r="F62" s="2" t="s">
        <v>76</v>
      </c>
      <c r="G62" s="2" t="s">
        <v>976</v>
      </c>
      <c r="H62" s="8"/>
      <c r="I62" s="8"/>
      <c r="J62" s="7">
        <v>327.0</v>
      </c>
      <c r="K62" s="7">
        <v>339.0</v>
      </c>
      <c r="L62" s="7">
        <v>0.0</v>
      </c>
      <c r="M62" s="2" t="s">
        <v>977</v>
      </c>
      <c r="N62" s="9" t="s">
        <v>978</v>
      </c>
      <c r="O62" s="2" t="s">
        <v>982</v>
      </c>
      <c r="P62" s="2" t="s">
        <v>983</v>
      </c>
      <c r="Q62" s="2" t="s">
        <v>984</v>
      </c>
      <c r="R62" s="2" t="s">
        <v>83</v>
      </c>
      <c r="S62" s="2" t="s">
        <v>51</v>
      </c>
      <c r="T62" s="8"/>
      <c r="U62" s="2" t="s">
        <v>52</v>
      </c>
      <c r="V62" s="2" t="s">
        <v>985</v>
      </c>
    </row>
    <row r="63">
      <c r="A63" s="2" t="s">
        <v>986</v>
      </c>
      <c r="B63" s="2" t="s">
        <v>987</v>
      </c>
      <c r="C63" s="2" t="s">
        <v>988</v>
      </c>
      <c r="D63" s="2" t="s">
        <v>989</v>
      </c>
      <c r="E63" s="7">
        <v>2025.0</v>
      </c>
      <c r="F63" s="2" t="s">
        <v>990</v>
      </c>
      <c r="K63" s="8"/>
      <c r="L63" s="7">
        <v>0.0</v>
      </c>
      <c r="M63" s="2" t="s">
        <v>991</v>
      </c>
      <c r="N63" s="9" t="s">
        <v>992</v>
      </c>
      <c r="O63" s="2" t="s">
        <v>997</v>
      </c>
      <c r="P63" s="2" t="s">
        <v>998</v>
      </c>
      <c r="Q63" s="2" t="s">
        <v>999</v>
      </c>
      <c r="R63" s="2" t="s">
        <v>83</v>
      </c>
      <c r="S63" s="2" t="s">
        <v>51</v>
      </c>
      <c r="T63" s="8"/>
      <c r="U63" s="2" t="s">
        <v>52</v>
      </c>
      <c r="V63" s="2" t="s">
        <v>1000</v>
      </c>
    </row>
    <row r="64">
      <c r="A64" s="2" t="s">
        <v>1001</v>
      </c>
      <c r="B64" s="2" t="s">
        <v>1002</v>
      </c>
      <c r="C64" s="2" t="s">
        <v>1003</v>
      </c>
      <c r="D64" s="2" t="s">
        <v>1004</v>
      </c>
      <c r="E64" s="7">
        <v>2025.0</v>
      </c>
      <c r="F64" s="2" t="s">
        <v>1005</v>
      </c>
      <c r="G64" s="7">
        <v>15.0</v>
      </c>
      <c r="H64" s="8"/>
      <c r="I64" s="7">
        <v>1563959.0</v>
      </c>
      <c r="J64" s="8"/>
      <c r="K64" s="8"/>
      <c r="L64" s="7">
        <v>0.0</v>
      </c>
      <c r="M64" s="2" t="s">
        <v>1006</v>
      </c>
      <c r="N64" s="9" t="s">
        <v>1007</v>
      </c>
      <c r="O64" s="2" t="s">
        <v>1010</v>
      </c>
      <c r="P64" s="2" t="s">
        <v>1011</v>
      </c>
      <c r="Q64" s="2" t="s">
        <v>1013</v>
      </c>
      <c r="R64" s="2" t="s">
        <v>50</v>
      </c>
      <c r="S64" s="2" t="s">
        <v>51</v>
      </c>
      <c r="T64" s="2" t="s">
        <v>141</v>
      </c>
      <c r="U64" s="2" t="s">
        <v>52</v>
      </c>
      <c r="V64" s="2" t="s">
        <v>1015</v>
      </c>
    </row>
    <row r="65">
      <c r="A65" s="2" t="s">
        <v>1017</v>
      </c>
      <c r="B65" s="2" t="s">
        <v>1018</v>
      </c>
      <c r="C65" s="2" t="s">
        <v>1019</v>
      </c>
      <c r="D65" s="2" t="s">
        <v>1020</v>
      </c>
      <c r="E65" s="7">
        <v>2025.0</v>
      </c>
      <c r="F65" s="2" t="s">
        <v>685</v>
      </c>
      <c r="G65" s="7">
        <v>13.0</v>
      </c>
      <c r="H65" s="8"/>
      <c r="I65" s="8"/>
      <c r="J65" s="7">
        <v>75754.0</v>
      </c>
      <c r="K65" s="7">
        <v>75768.0</v>
      </c>
      <c r="L65" s="7">
        <v>0.0</v>
      </c>
      <c r="M65" s="2" t="s">
        <v>1022</v>
      </c>
      <c r="N65" s="9" t="s">
        <v>1023</v>
      </c>
      <c r="O65" s="2" t="s">
        <v>1026</v>
      </c>
      <c r="P65" s="2" t="s">
        <v>1027</v>
      </c>
      <c r="Q65" s="2" t="s">
        <v>1030</v>
      </c>
      <c r="R65" s="2" t="s">
        <v>50</v>
      </c>
      <c r="S65" s="2" t="s">
        <v>51</v>
      </c>
      <c r="T65" s="2" t="s">
        <v>170</v>
      </c>
      <c r="U65" s="2" t="s">
        <v>52</v>
      </c>
      <c r="V65" s="2" t="s">
        <v>1032</v>
      </c>
    </row>
    <row r="66">
      <c r="A66" s="2" t="s">
        <v>1033</v>
      </c>
      <c r="B66" s="2" t="s">
        <v>1034</v>
      </c>
      <c r="C66" s="2" t="s">
        <v>1035</v>
      </c>
      <c r="D66" s="2" t="s">
        <v>1036</v>
      </c>
      <c r="E66" s="7">
        <v>2025.0</v>
      </c>
      <c r="F66" s="2" t="s">
        <v>1038</v>
      </c>
      <c r="G66" s="7">
        <v>11.0</v>
      </c>
      <c r="H66" s="8"/>
      <c r="I66" s="8"/>
      <c r="J66" s="8"/>
      <c r="K66" s="8"/>
      <c r="L66" s="7">
        <v>0.0</v>
      </c>
      <c r="M66" s="2" t="s">
        <v>1039</v>
      </c>
      <c r="N66" s="9" t="s">
        <v>1040</v>
      </c>
      <c r="O66" s="2" t="s">
        <v>1041</v>
      </c>
      <c r="P66" s="2" t="s">
        <v>1042</v>
      </c>
      <c r="R66" s="2" t="s">
        <v>50</v>
      </c>
      <c r="S66" s="2" t="s">
        <v>51</v>
      </c>
      <c r="T66" s="2" t="s">
        <v>141</v>
      </c>
      <c r="U66" s="2" t="s">
        <v>52</v>
      </c>
      <c r="V66" s="2" t="s">
        <v>1045</v>
      </c>
    </row>
    <row r="67">
      <c r="A67" s="2" t="s">
        <v>1046</v>
      </c>
      <c r="B67" s="2" t="s">
        <v>1047</v>
      </c>
      <c r="C67" s="2" t="s">
        <v>1048</v>
      </c>
      <c r="D67" s="2" t="s">
        <v>1049</v>
      </c>
      <c r="E67" s="7">
        <v>2025.0</v>
      </c>
      <c r="F67" s="8"/>
      <c r="G67" s="8"/>
      <c r="H67" s="8"/>
      <c r="I67" s="8"/>
      <c r="J67" s="7">
        <v>78.0</v>
      </c>
      <c r="K67" s="7">
        <v>95.0</v>
      </c>
      <c r="L67" s="7">
        <v>0.0</v>
      </c>
      <c r="M67" s="2" t="s">
        <v>1051</v>
      </c>
      <c r="N67" s="9" t="s">
        <v>1053</v>
      </c>
      <c r="O67" s="2" t="s">
        <v>1057</v>
      </c>
      <c r="R67" s="2" t="s">
        <v>1059</v>
      </c>
      <c r="S67" s="2" t="s">
        <v>51</v>
      </c>
      <c r="T67" s="8"/>
      <c r="U67" s="2" t="s">
        <v>52</v>
      </c>
      <c r="V67" s="2" t="s">
        <v>1060</v>
      </c>
    </row>
    <row r="68">
      <c r="A68" s="8"/>
      <c r="B68" s="8"/>
      <c r="C68" s="8"/>
      <c r="D68" s="2" t="s">
        <v>1062</v>
      </c>
      <c r="E68" s="7">
        <v>2025.0</v>
      </c>
      <c r="F68" s="2" t="s">
        <v>76</v>
      </c>
      <c r="G68" s="2" t="s">
        <v>1063</v>
      </c>
      <c r="H68" s="8"/>
      <c r="I68" s="8"/>
      <c r="J68" s="8"/>
      <c r="K68" s="8"/>
      <c r="L68" s="7">
        <v>0.0</v>
      </c>
      <c r="M68" s="8"/>
      <c r="N68" s="9" t="s">
        <v>1066</v>
      </c>
      <c r="O68" s="2" t="s">
        <v>1070</v>
      </c>
      <c r="R68" s="2" t="s">
        <v>104</v>
      </c>
      <c r="S68" s="2" t="s">
        <v>51</v>
      </c>
      <c r="T68" s="8"/>
      <c r="U68" s="2" t="s">
        <v>52</v>
      </c>
      <c r="V68" s="2" t="s">
        <v>1071</v>
      </c>
    </row>
    <row r="69">
      <c r="A69" s="2" t="s">
        <v>867</v>
      </c>
      <c r="B69" s="2" t="s">
        <v>1072</v>
      </c>
      <c r="C69" s="2" t="s">
        <v>1073</v>
      </c>
      <c r="D69" s="2" t="s">
        <v>868</v>
      </c>
      <c r="E69" s="7">
        <v>2025.0</v>
      </c>
      <c r="F69" s="2" t="s">
        <v>685</v>
      </c>
      <c r="G69" s="7">
        <v>13.0</v>
      </c>
      <c r="H69" s="8"/>
      <c r="I69" s="8"/>
      <c r="J69" s="7">
        <v>57504.0</v>
      </c>
      <c r="K69" s="7">
        <v>57529.0</v>
      </c>
      <c r="L69" s="7">
        <v>1.0</v>
      </c>
      <c r="M69" s="2" t="s">
        <v>1074</v>
      </c>
      <c r="N69" s="9" t="s">
        <v>869</v>
      </c>
      <c r="O69" s="2" t="s">
        <v>882</v>
      </c>
      <c r="P69" s="2" t="s">
        <v>1080</v>
      </c>
      <c r="Q69" s="2" t="s">
        <v>1081</v>
      </c>
      <c r="R69" s="2" t="s">
        <v>50</v>
      </c>
      <c r="S69" s="2" t="s">
        <v>51</v>
      </c>
      <c r="T69" s="2" t="s">
        <v>170</v>
      </c>
      <c r="U69" s="2" t="s">
        <v>52</v>
      </c>
      <c r="V69" s="2" t="s">
        <v>1083</v>
      </c>
    </row>
    <row r="70">
      <c r="A70" s="8"/>
      <c r="B70" s="8"/>
      <c r="C70" s="8"/>
      <c r="D70" s="2" t="s">
        <v>1062</v>
      </c>
      <c r="E70" s="7">
        <v>2025.0</v>
      </c>
      <c r="F70" s="2" t="s">
        <v>76</v>
      </c>
      <c r="G70" s="2" t="s">
        <v>1084</v>
      </c>
      <c r="H70" s="8"/>
      <c r="I70" s="8"/>
      <c r="J70" s="8"/>
      <c r="K70" s="8"/>
      <c r="L70" s="7">
        <v>0.0</v>
      </c>
      <c r="M70" s="8"/>
      <c r="N70" s="9" t="s">
        <v>1085</v>
      </c>
      <c r="O70" s="2" t="s">
        <v>1070</v>
      </c>
      <c r="R70" s="2" t="s">
        <v>104</v>
      </c>
      <c r="S70" s="2" t="s">
        <v>51</v>
      </c>
      <c r="T70" s="8"/>
      <c r="U70" s="2" t="s">
        <v>52</v>
      </c>
      <c r="V70" s="2" t="s">
        <v>1087</v>
      </c>
    </row>
    <row r="71">
      <c r="A71" s="2" t="s">
        <v>1089</v>
      </c>
      <c r="B71" s="2" t="s">
        <v>1090</v>
      </c>
      <c r="C71" s="2" t="s">
        <v>1092</v>
      </c>
      <c r="D71" s="2" t="s">
        <v>1093</v>
      </c>
      <c r="E71" s="7">
        <v>2024.0</v>
      </c>
      <c r="F71" s="2" t="s">
        <v>1094</v>
      </c>
      <c r="G71" s="7">
        <v>36.0</v>
      </c>
      <c r="H71" s="7">
        <v>32.0</v>
      </c>
      <c r="I71" s="8"/>
      <c r="J71" s="7">
        <v>20067.0</v>
      </c>
      <c r="K71" s="7">
        <v>20087.0</v>
      </c>
      <c r="L71" s="7">
        <v>7.0</v>
      </c>
      <c r="M71" s="2" t="s">
        <v>1095</v>
      </c>
      <c r="N71" s="9" t="s">
        <v>1096</v>
      </c>
      <c r="O71" s="2" t="s">
        <v>1098</v>
      </c>
      <c r="P71" s="2" t="s">
        <v>1099</v>
      </c>
      <c r="Q71" s="2" t="s">
        <v>1100</v>
      </c>
      <c r="R71" s="2" t="s">
        <v>50</v>
      </c>
      <c r="S71" s="2" t="s">
        <v>51</v>
      </c>
      <c r="T71" s="8"/>
      <c r="U71" s="2" t="s">
        <v>52</v>
      </c>
      <c r="V71" s="2" t="s">
        <v>1101</v>
      </c>
    </row>
    <row r="72">
      <c r="A72" s="2" t="s">
        <v>1103</v>
      </c>
      <c r="B72" s="2" t="s">
        <v>1104</v>
      </c>
      <c r="C72" s="2" t="s">
        <v>1106</v>
      </c>
      <c r="D72" s="2" t="s">
        <v>1107</v>
      </c>
      <c r="E72" s="7">
        <v>2024.0</v>
      </c>
      <c r="F72" s="2" t="s">
        <v>373</v>
      </c>
      <c r="G72" s="7">
        <v>83.0</v>
      </c>
      <c r="H72" s="7">
        <v>39.0</v>
      </c>
      <c r="I72" s="8"/>
      <c r="J72" s="7">
        <v>86833.0</v>
      </c>
      <c r="K72" s="7">
        <v>86868.0</v>
      </c>
      <c r="L72" s="7">
        <v>22.0</v>
      </c>
      <c r="M72" s="2" t="s">
        <v>1109</v>
      </c>
      <c r="N72" s="9" t="s">
        <v>1110</v>
      </c>
      <c r="O72" s="2" t="s">
        <v>1111</v>
      </c>
      <c r="P72" s="2" t="s">
        <v>1113</v>
      </c>
      <c r="Q72" s="2" t="s">
        <v>1114</v>
      </c>
      <c r="R72" s="2" t="s">
        <v>50</v>
      </c>
      <c r="S72" s="2" t="s">
        <v>51</v>
      </c>
      <c r="T72" s="8"/>
      <c r="U72" s="2" t="s">
        <v>52</v>
      </c>
      <c r="V72" s="2" t="s">
        <v>1116</v>
      </c>
    </row>
    <row r="73">
      <c r="A73" s="2" t="s">
        <v>1118</v>
      </c>
      <c r="B73" s="2" t="s">
        <v>1119</v>
      </c>
      <c r="C73" s="2" t="s">
        <v>1120</v>
      </c>
      <c r="D73" s="2" t="s">
        <v>1122</v>
      </c>
      <c r="E73" s="7">
        <v>2024.0</v>
      </c>
      <c r="F73" s="2" t="s">
        <v>1123</v>
      </c>
      <c r="G73" s="7">
        <v>10.0</v>
      </c>
      <c r="H73" s="7">
        <v>19.0</v>
      </c>
      <c r="I73" s="2" t="s">
        <v>1124</v>
      </c>
      <c r="J73" s="8"/>
      <c r="K73" s="8"/>
      <c r="L73" s="7">
        <v>0.0</v>
      </c>
      <c r="M73" s="2" t="s">
        <v>1125</v>
      </c>
      <c r="N73" s="9" t="s">
        <v>1126</v>
      </c>
      <c r="O73" s="2" t="s">
        <v>1127</v>
      </c>
      <c r="P73" s="2" t="s">
        <v>1128</v>
      </c>
      <c r="R73" s="2" t="s">
        <v>50</v>
      </c>
      <c r="S73" s="2" t="s">
        <v>51</v>
      </c>
      <c r="T73" s="2" t="s">
        <v>141</v>
      </c>
      <c r="U73" s="2" t="s">
        <v>52</v>
      </c>
      <c r="V73" s="2" t="s">
        <v>1129</v>
      </c>
    </row>
    <row r="74">
      <c r="A74" s="2" t="s">
        <v>1130</v>
      </c>
      <c r="B74" s="2" t="s">
        <v>1131</v>
      </c>
      <c r="C74" s="2" t="s">
        <v>1132</v>
      </c>
      <c r="D74" s="2" t="s">
        <v>1076</v>
      </c>
      <c r="E74" s="7">
        <v>2024.0</v>
      </c>
      <c r="F74" s="2" t="s">
        <v>427</v>
      </c>
      <c r="G74" s="7">
        <v>252.0</v>
      </c>
      <c r="H74" s="8"/>
      <c r="I74" s="7">
        <v>124113.0</v>
      </c>
      <c r="J74" s="8"/>
      <c r="K74" s="8"/>
      <c r="L74" s="7">
        <v>20.0</v>
      </c>
      <c r="M74" s="2" t="s">
        <v>1133</v>
      </c>
      <c r="N74" s="9" t="s">
        <v>1134</v>
      </c>
      <c r="O74" s="2" t="s">
        <v>1144</v>
      </c>
      <c r="P74" s="2" t="s">
        <v>1145</v>
      </c>
      <c r="Q74" s="2" t="s">
        <v>1146</v>
      </c>
      <c r="R74" s="2" t="s">
        <v>926</v>
      </c>
      <c r="S74" s="2" t="s">
        <v>51</v>
      </c>
      <c r="T74" s="8"/>
      <c r="U74" s="2" t="s">
        <v>52</v>
      </c>
      <c r="V74" s="2" t="s">
        <v>1147</v>
      </c>
    </row>
    <row r="75">
      <c r="A75" s="2" t="s">
        <v>1148</v>
      </c>
      <c r="B75" s="2" t="s">
        <v>1149</v>
      </c>
      <c r="C75" s="2" t="s">
        <v>1150</v>
      </c>
      <c r="D75" s="2" t="s">
        <v>1151</v>
      </c>
      <c r="E75" s="7">
        <v>2024.0</v>
      </c>
      <c r="F75" s="2" t="s">
        <v>1153</v>
      </c>
      <c r="G75" s="7">
        <v>16.0</v>
      </c>
      <c r="H75" s="7">
        <v>3.0</v>
      </c>
      <c r="I75" s="8"/>
      <c r="J75" s="7">
        <v>688.0</v>
      </c>
      <c r="K75" s="7">
        <v>711.0</v>
      </c>
      <c r="L75" s="7">
        <v>9.0</v>
      </c>
      <c r="M75" s="2" t="s">
        <v>1155</v>
      </c>
      <c r="N75" s="9" t="s">
        <v>1156</v>
      </c>
      <c r="O75" s="2" t="s">
        <v>1158</v>
      </c>
      <c r="P75" s="2" t="s">
        <v>1159</v>
      </c>
      <c r="Q75" s="2" t="s">
        <v>1160</v>
      </c>
      <c r="R75" s="2" t="s">
        <v>50</v>
      </c>
      <c r="S75" s="2" t="s">
        <v>51</v>
      </c>
      <c r="T75" s="8"/>
      <c r="U75" s="2" t="s">
        <v>52</v>
      </c>
      <c r="V75" s="2" t="s">
        <v>1162</v>
      </c>
    </row>
    <row r="76">
      <c r="A76" s="2" t="s">
        <v>699</v>
      </c>
      <c r="B76" s="2" t="s">
        <v>1163</v>
      </c>
      <c r="C76" s="2" t="s">
        <v>1165</v>
      </c>
      <c r="D76" s="2" t="s">
        <v>701</v>
      </c>
      <c r="E76" s="7">
        <v>2024.0</v>
      </c>
      <c r="F76" s="2" t="s">
        <v>34</v>
      </c>
      <c r="G76" s="7">
        <v>94.0</v>
      </c>
      <c r="H76" s="8"/>
      <c r="I76" s="7">
        <v>106279.0</v>
      </c>
      <c r="J76" s="8"/>
      <c r="K76" s="8"/>
      <c r="L76" s="7">
        <v>28.0</v>
      </c>
      <c r="M76" s="2" t="s">
        <v>1166</v>
      </c>
      <c r="N76" s="9" t="s">
        <v>704</v>
      </c>
      <c r="O76" s="2" t="s">
        <v>744</v>
      </c>
      <c r="P76" s="2" t="s">
        <v>1170</v>
      </c>
      <c r="Q76" s="2" t="s">
        <v>1171</v>
      </c>
      <c r="R76" s="2" t="s">
        <v>50</v>
      </c>
      <c r="S76" s="2" t="s">
        <v>51</v>
      </c>
      <c r="T76" s="8"/>
      <c r="U76" s="2" t="s">
        <v>52</v>
      </c>
      <c r="V76" s="2" t="s">
        <v>1172</v>
      </c>
    </row>
    <row r="77">
      <c r="A77" s="2" t="s">
        <v>1173</v>
      </c>
      <c r="B77" s="2" t="s">
        <v>1174</v>
      </c>
      <c r="C77" s="2" t="s">
        <v>1175</v>
      </c>
      <c r="D77" s="2" t="s">
        <v>1176</v>
      </c>
      <c r="E77" s="7">
        <v>2024.0</v>
      </c>
      <c r="F77" s="2" t="s">
        <v>412</v>
      </c>
      <c r="G77" s="7">
        <v>37.0</v>
      </c>
      <c r="H77" s="7">
        <v>4.0</v>
      </c>
      <c r="I77" s="8"/>
      <c r="J77" s="7">
        <v>1752.0</v>
      </c>
      <c r="K77" s="7">
        <v>1766.0</v>
      </c>
      <c r="L77" s="7">
        <v>3.0</v>
      </c>
      <c r="M77" s="2" t="s">
        <v>1177</v>
      </c>
      <c r="N77" s="9" t="s">
        <v>1178</v>
      </c>
      <c r="O77" s="2" t="s">
        <v>1187</v>
      </c>
      <c r="P77" s="2" t="s">
        <v>1188</v>
      </c>
      <c r="Q77" s="2" t="s">
        <v>1189</v>
      </c>
      <c r="R77" s="2" t="s">
        <v>50</v>
      </c>
      <c r="S77" s="2" t="s">
        <v>51</v>
      </c>
      <c r="T77" s="2" t="s">
        <v>1191</v>
      </c>
      <c r="U77" s="2" t="s">
        <v>52</v>
      </c>
      <c r="V77" s="2" t="s">
        <v>1192</v>
      </c>
    </row>
    <row r="78">
      <c r="A78" s="2" t="s">
        <v>835</v>
      </c>
      <c r="B78" s="2" t="s">
        <v>1194</v>
      </c>
      <c r="C78" s="2" t="s">
        <v>1195</v>
      </c>
      <c r="D78" s="2" t="s">
        <v>837</v>
      </c>
      <c r="E78" s="7">
        <v>2024.0</v>
      </c>
      <c r="F78" s="2" t="s">
        <v>1196</v>
      </c>
      <c r="G78" s="7">
        <v>34.0</v>
      </c>
      <c r="H78" s="7">
        <v>3.0</v>
      </c>
      <c r="I78" s="8"/>
      <c r="J78" s="7">
        <v>1739.0</v>
      </c>
      <c r="K78" s="7">
        <v>1752.0</v>
      </c>
      <c r="L78" s="7">
        <v>5.0</v>
      </c>
      <c r="M78" s="2" t="s">
        <v>1198</v>
      </c>
      <c r="N78" s="9" t="s">
        <v>842</v>
      </c>
      <c r="O78" s="2" t="s">
        <v>864</v>
      </c>
      <c r="P78" s="2" t="s">
        <v>1199</v>
      </c>
      <c r="R78" s="2" t="s">
        <v>50</v>
      </c>
      <c r="S78" s="2" t="s">
        <v>51</v>
      </c>
      <c r="T78" s="2" t="s">
        <v>170</v>
      </c>
      <c r="U78" s="2" t="s">
        <v>52</v>
      </c>
      <c r="V78" s="2" t="s">
        <v>1200</v>
      </c>
    </row>
    <row r="79">
      <c r="A79" s="2" t="s">
        <v>804</v>
      </c>
      <c r="B79" s="2" t="s">
        <v>1201</v>
      </c>
      <c r="C79" s="2" t="s">
        <v>1202</v>
      </c>
      <c r="D79" s="2" t="s">
        <v>516</v>
      </c>
      <c r="E79" s="7">
        <v>2024.0</v>
      </c>
      <c r="F79" s="2" t="s">
        <v>1123</v>
      </c>
      <c r="G79" s="7">
        <v>10.0</v>
      </c>
      <c r="H79" s="7">
        <v>10.0</v>
      </c>
      <c r="I79" s="2" t="s">
        <v>1205</v>
      </c>
      <c r="J79" s="8"/>
      <c r="K79" s="8"/>
      <c r="L79" s="7">
        <v>9.0</v>
      </c>
      <c r="M79" s="2" t="s">
        <v>1206</v>
      </c>
      <c r="N79" s="9" t="s">
        <v>809</v>
      </c>
      <c r="O79" s="2" t="s">
        <v>834</v>
      </c>
      <c r="P79" s="2" t="s">
        <v>1208</v>
      </c>
      <c r="R79" s="2" t="s">
        <v>50</v>
      </c>
      <c r="S79" s="2" t="s">
        <v>51</v>
      </c>
      <c r="T79" s="2" t="s">
        <v>1210</v>
      </c>
      <c r="U79" s="2" t="s">
        <v>52</v>
      </c>
      <c r="V79" s="2" t="s">
        <v>1211</v>
      </c>
    </row>
    <row r="80">
      <c r="A80" s="2" t="s">
        <v>1213</v>
      </c>
      <c r="B80" s="2" t="s">
        <v>1214</v>
      </c>
      <c r="C80" s="2" t="s">
        <v>1215</v>
      </c>
      <c r="D80" s="2" t="s">
        <v>872</v>
      </c>
      <c r="E80" s="7">
        <v>2024.0</v>
      </c>
      <c r="F80" s="2" t="s">
        <v>1217</v>
      </c>
      <c r="G80" s="7">
        <v>173.0</v>
      </c>
      <c r="H80" s="8"/>
      <c r="I80" s="7">
        <v>108303.0</v>
      </c>
      <c r="J80" s="8"/>
      <c r="K80" s="8"/>
      <c r="L80" s="7">
        <v>17.0</v>
      </c>
      <c r="M80" s="2" t="s">
        <v>1218</v>
      </c>
      <c r="N80" s="9" t="s">
        <v>1219</v>
      </c>
      <c r="O80" s="2" t="s">
        <v>1220</v>
      </c>
      <c r="P80" s="2" t="s">
        <v>1221</v>
      </c>
      <c r="Q80" s="2" t="s">
        <v>1222</v>
      </c>
      <c r="R80" s="2" t="s">
        <v>50</v>
      </c>
      <c r="S80" s="2" t="s">
        <v>51</v>
      </c>
      <c r="T80" s="2" t="s">
        <v>156</v>
      </c>
      <c r="U80" s="2" t="s">
        <v>52</v>
      </c>
      <c r="V80" s="2" t="s">
        <v>1224</v>
      </c>
    </row>
    <row r="81">
      <c r="A81" s="2" t="s">
        <v>664</v>
      </c>
      <c r="B81" s="2" t="s">
        <v>1226</v>
      </c>
      <c r="C81" s="2" t="s">
        <v>1227</v>
      </c>
      <c r="D81" s="2" t="s">
        <v>629</v>
      </c>
      <c r="E81" s="7">
        <v>2024.0</v>
      </c>
      <c r="F81" s="2" t="s">
        <v>1229</v>
      </c>
      <c r="G81" s="7">
        <v>248.0</v>
      </c>
      <c r="H81" s="8"/>
      <c r="I81" s="7">
        <v>108121.0</v>
      </c>
      <c r="J81" s="8"/>
      <c r="K81" s="8"/>
      <c r="L81" s="7">
        <v>40.0</v>
      </c>
      <c r="M81" s="2" t="s">
        <v>1230</v>
      </c>
      <c r="N81" s="9" t="s">
        <v>668</v>
      </c>
      <c r="O81" s="2" t="s">
        <v>695</v>
      </c>
      <c r="P81" s="2" t="s">
        <v>1231</v>
      </c>
      <c r="Q81" s="2" t="s">
        <v>1232</v>
      </c>
      <c r="R81" s="2" t="s">
        <v>50</v>
      </c>
      <c r="S81" s="2" t="s">
        <v>51</v>
      </c>
      <c r="T81" s="8"/>
      <c r="U81" s="2" t="s">
        <v>52</v>
      </c>
      <c r="V81" s="2" t="s">
        <v>1233</v>
      </c>
    </row>
    <row r="82">
      <c r="A82" s="2" t="s">
        <v>1234</v>
      </c>
      <c r="B82" s="2" t="s">
        <v>1235</v>
      </c>
      <c r="C82" s="2" t="s">
        <v>1236</v>
      </c>
      <c r="D82" s="2" t="s">
        <v>1237</v>
      </c>
      <c r="E82" s="7">
        <v>2024.0</v>
      </c>
      <c r="F82" s="2" t="s">
        <v>1238</v>
      </c>
      <c r="G82" s="7">
        <v>56.0</v>
      </c>
      <c r="H82" s="7">
        <v>5.0</v>
      </c>
      <c r="I82" s="7">
        <v>763.0</v>
      </c>
      <c r="J82" s="8"/>
      <c r="K82" s="8"/>
      <c r="L82" s="7">
        <v>14.0</v>
      </c>
      <c r="M82" s="2" t="s">
        <v>1239</v>
      </c>
      <c r="N82" s="9" t="s">
        <v>1240</v>
      </c>
      <c r="O82" s="2" t="s">
        <v>1242</v>
      </c>
      <c r="P82" s="2" t="s">
        <v>1243</v>
      </c>
      <c r="Q82" s="2" t="s">
        <v>1244</v>
      </c>
      <c r="R82" s="2" t="s">
        <v>50</v>
      </c>
      <c r="S82" s="2" t="s">
        <v>51</v>
      </c>
      <c r="T82" s="8"/>
      <c r="U82" s="2" t="s">
        <v>52</v>
      </c>
      <c r="V82" s="2" t="s">
        <v>1245</v>
      </c>
    </row>
    <row r="83">
      <c r="A83" s="2" t="s">
        <v>1246</v>
      </c>
      <c r="B83" s="2" t="s">
        <v>1247</v>
      </c>
      <c r="C83" s="2" t="s">
        <v>1248</v>
      </c>
      <c r="D83" s="2" t="s">
        <v>1249</v>
      </c>
      <c r="E83" s="7">
        <v>2024.0</v>
      </c>
      <c r="F83" s="2" t="s">
        <v>1250</v>
      </c>
      <c r="G83" s="7">
        <v>8.0</v>
      </c>
      <c r="H83" s="7">
        <v>1.0</v>
      </c>
      <c r="I83" s="8"/>
      <c r="J83" s="7">
        <v>2.0</v>
      </c>
      <c r="K83" s="7">
        <v>14.0</v>
      </c>
      <c r="L83" s="7">
        <v>5.0</v>
      </c>
      <c r="M83" s="2" t="s">
        <v>1251</v>
      </c>
      <c r="N83" s="9" t="s">
        <v>1252</v>
      </c>
      <c r="O83" s="2" t="s">
        <v>1253</v>
      </c>
      <c r="P83" s="2" t="s">
        <v>1254</v>
      </c>
      <c r="Q83" s="2" t="s">
        <v>1255</v>
      </c>
      <c r="R83" s="2" t="s">
        <v>50</v>
      </c>
      <c r="S83" s="2" t="s">
        <v>51</v>
      </c>
      <c r="T83" s="8"/>
      <c r="U83" s="2" t="s">
        <v>52</v>
      </c>
      <c r="V83" s="2" t="s">
        <v>1256</v>
      </c>
    </row>
    <row r="84">
      <c r="A84" s="2" t="s">
        <v>640</v>
      </c>
      <c r="B84" s="2" t="s">
        <v>1258</v>
      </c>
      <c r="C84" s="2" t="s">
        <v>1259</v>
      </c>
      <c r="D84" s="2" t="s">
        <v>125</v>
      </c>
      <c r="E84" s="7">
        <v>2024.0</v>
      </c>
      <c r="F84" s="2" t="s">
        <v>373</v>
      </c>
      <c r="G84" s="7">
        <v>83.0</v>
      </c>
      <c r="H84" s="7">
        <v>10.0</v>
      </c>
      <c r="I84" s="8"/>
      <c r="J84" s="7">
        <v>30563.0</v>
      </c>
      <c r="K84" s="7">
        <v>30585.0</v>
      </c>
      <c r="L84" s="7">
        <v>6.0</v>
      </c>
      <c r="M84" s="2" t="s">
        <v>1260</v>
      </c>
      <c r="N84" s="9" t="s">
        <v>642</v>
      </c>
      <c r="O84" s="2" t="s">
        <v>662</v>
      </c>
      <c r="P84" s="2" t="s">
        <v>1261</v>
      </c>
      <c r="Q84" s="2" t="s">
        <v>1262</v>
      </c>
      <c r="R84" s="2" t="s">
        <v>50</v>
      </c>
      <c r="S84" s="2" t="s">
        <v>51</v>
      </c>
      <c r="T84" s="8"/>
      <c r="U84" s="2" t="s">
        <v>52</v>
      </c>
      <c r="V84" s="2" t="s">
        <v>1263</v>
      </c>
    </row>
    <row r="85">
      <c r="A85" s="2" t="s">
        <v>776</v>
      </c>
      <c r="B85" s="2" t="s">
        <v>1264</v>
      </c>
      <c r="C85" s="2" t="s">
        <v>1265</v>
      </c>
      <c r="D85" s="2" t="s">
        <v>778</v>
      </c>
      <c r="E85" s="7">
        <v>2024.0</v>
      </c>
      <c r="F85" s="2" t="s">
        <v>1123</v>
      </c>
      <c r="G85" s="7">
        <v>10.0</v>
      </c>
      <c r="H85" s="7">
        <v>2.0</v>
      </c>
      <c r="I85" s="2" t="s">
        <v>1266</v>
      </c>
      <c r="J85" s="8"/>
      <c r="K85" s="8"/>
      <c r="L85" s="7">
        <v>22.0</v>
      </c>
      <c r="M85" s="2" t="s">
        <v>1267</v>
      </c>
      <c r="N85" s="9" t="s">
        <v>781</v>
      </c>
      <c r="O85" s="2" t="s">
        <v>803</v>
      </c>
      <c r="P85" s="2" t="s">
        <v>1269</v>
      </c>
      <c r="R85" s="2" t="s">
        <v>50</v>
      </c>
      <c r="S85" s="2" t="s">
        <v>51</v>
      </c>
      <c r="T85" s="2" t="s">
        <v>141</v>
      </c>
      <c r="U85" s="2" t="s">
        <v>52</v>
      </c>
      <c r="V85" s="2" t="s">
        <v>1270</v>
      </c>
    </row>
    <row r="86">
      <c r="A86" s="2" t="s">
        <v>1271</v>
      </c>
      <c r="B86" s="2" t="s">
        <v>1272</v>
      </c>
      <c r="C86" s="2" t="s">
        <v>1273</v>
      </c>
      <c r="D86" s="2" t="s">
        <v>1274</v>
      </c>
      <c r="E86" s="7">
        <v>2024.0</v>
      </c>
      <c r="F86" s="8"/>
      <c r="G86" s="8"/>
      <c r="H86" s="8"/>
      <c r="I86" s="8"/>
      <c r="J86" s="7">
        <v>659.0</v>
      </c>
      <c r="K86" s="7">
        <v>665.0</v>
      </c>
      <c r="L86" s="7">
        <v>1.0</v>
      </c>
      <c r="M86" s="2" t="s">
        <v>1275</v>
      </c>
      <c r="N86" s="9" t="s">
        <v>1276</v>
      </c>
      <c r="O86" s="2" t="s">
        <v>1277</v>
      </c>
      <c r="P86" s="2" t="s">
        <v>1278</v>
      </c>
      <c r="Q86" s="2" t="s">
        <v>1279</v>
      </c>
      <c r="R86" s="2" t="s">
        <v>83</v>
      </c>
      <c r="S86" s="2" t="s">
        <v>51</v>
      </c>
      <c r="T86" s="8"/>
      <c r="U86" s="2" t="s">
        <v>52</v>
      </c>
      <c r="V86" s="2" t="s">
        <v>1280</v>
      </c>
    </row>
    <row r="87">
      <c r="A87" s="2" t="s">
        <v>1281</v>
      </c>
      <c r="B87" s="2" t="s">
        <v>1282</v>
      </c>
      <c r="C87" s="2" t="s">
        <v>1283</v>
      </c>
      <c r="D87" s="2" t="s">
        <v>1284</v>
      </c>
      <c r="E87" s="7">
        <v>2024.0</v>
      </c>
      <c r="F87" s="8"/>
      <c r="G87" s="8"/>
      <c r="H87" s="8"/>
      <c r="I87" s="8"/>
      <c r="J87" s="7">
        <v>247.0</v>
      </c>
      <c r="K87" s="7">
        <v>256.0</v>
      </c>
      <c r="L87" s="7">
        <v>0.0</v>
      </c>
      <c r="M87" s="2" t="s">
        <v>1285</v>
      </c>
      <c r="N87" s="9" t="s">
        <v>1287</v>
      </c>
      <c r="O87" s="2" t="s">
        <v>1290</v>
      </c>
      <c r="P87" s="2" t="s">
        <v>1291</v>
      </c>
      <c r="Q87" s="2" t="s">
        <v>1292</v>
      </c>
      <c r="R87" s="2" t="s">
        <v>83</v>
      </c>
      <c r="S87" s="2" t="s">
        <v>51</v>
      </c>
      <c r="T87" s="8"/>
      <c r="U87" s="2" t="s">
        <v>52</v>
      </c>
      <c r="V87" s="2" t="s">
        <v>1293</v>
      </c>
    </row>
    <row r="88">
      <c r="A88" s="8"/>
      <c r="B88" s="8"/>
      <c r="C88" s="8"/>
      <c r="D88" s="2" t="s">
        <v>1294</v>
      </c>
      <c r="E88" s="7">
        <v>2024.0</v>
      </c>
      <c r="F88" s="8"/>
      <c r="G88" s="8"/>
      <c r="H88" s="8"/>
      <c r="I88" s="8"/>
      <c r="J88" s="8"/>
      <c r="K88" s="8"/>
      <c r="L88" s="7">
        <v>0.0</v>
      </c>
      <c r="M88" s="8"/>
      <c r="N88" s="9" t="s">
        <v>1295</v>
      </c>
      <c r="O88" s="2" t="s">
        <v>1296</v>
      </c>
      <c r="R88" s="2" t="s">
        <v>104</v>
      </c>
      <c r="S88" s="2" t="s">
        <v>51</v>
      </c>
      <c r="T88" s="8"/>
      <c r="U88" s="2" t="s">
        <v>52</v>
      </c>
      <c r="V88" s="2" t="s">
        <v>1297</v>
      </c>
    </row>
    <row r="89">
      <c r="A89" s="2" t="s">
        <v>1298</v>
      </c>
      <c r="B89" s="2" t="s">
        <v>1299</v>
      </c>
      <c r="C89" s="2" t="s">
        <v>1300</v>
      </c>
      <c r="D89" s="2" t="s">
        <v>1301</v>
      </c>
      <c r="E89" s="7">
        <v>2024.0</v>
      </c>
      <c r="F89" s="8"/>
      <c r="G89" s="8"/>
      <c r="H89" s="8"/>
      <c r="I89" s="8"/>
      <c r="J89" s="8"/>
      <c r="K89" s="8"/>
      <c r="L89" s="7">
        <v>2.0</v>
      </c>
      <c r="M89" s="2" t="s">
        <v>1302</v>
      </c>
      <c r="N89" s="9" t="s">
        <v>1303</v>
      </c>
      <c r="O89" s="2" t="s">
        <v>1307</v>
      </c>
      <c r="P89" s="2" t="s">
        <v>1308</v>
      </c>
      <c r="Q89" s="2" t="s">
        <v>1309</v>
      </c>
      <c r="R89" s="2" t="s">
        <v>83</v>
      </c>
      <c r="S89" s="2" t="s">
        <v>51</v>
      </c>
      <c r="T89" s="8"/>
      <c r="U89" s="2" t="s">
        <v>52</v>
      </c>
      <c r="V89" s="2" t="s">
        <v>1310</v>
      </c>
    </row>
    <row r="90">
      <c r="A90" s="8"/>
      <c r="B90" s="8"/>
      <c r="C90" s="8"/>
      <c r="D90" s="2" t="s">
        <v>1311</v>
      </c>
      <c r="E90" s="7">
        <v>2024.0</v>
      </c>
      <c r="F90" s="2" t="s">
        <v>531</v>
      </c>
      <c r="G90" s="2" t="s">
        <v>1312</v>
      </c>
      <c r="H90" s="8"/>
      <c r="I90" s="8"/>
      <c r="J90" s="8"/>
      <c r="K90" s="8"/>
      <c r="L90" s="7">
        <v>0.0</v>
      </c>
      <c r="M90" s="8"/>
      <c r="N90" s="9" t="s">
        <v>1313</v>
      </c>
      <c r="O90" s="2" t="s">
        <v>1314</v>
      </c>
      <c r="R90" s="2" t="s">
        <v>104</v>
      </c>
      <c r="S90" s="2" t="s">
        <v>51</v>
      </c>
      <c r="T90" s="8"/>
      <c r="U90" s="2" t="s">
        <v>52</v>
      </c>
      <c r="V90" s="2" t="s">
        <v>1315</v>
      </c>
    </row>
    <row r="91">
      <c r="A91" s="2" t="s">
        <v>1316</v>
      </c>
      <c r="B91" s="2" t="s">
        <v>1317</v>
      </c>
      <c r="C91" s="2" t="s">
        <v>1318</v>
      </c>
      <c r="D91" s="2" t="s">
        <v>1319</v>
      </c>
      <c r="E91" s="7">
        <v>2024.0</v>
      </c>
      <c r="F91" s="2" t="s">
        <v>685</v>
      </c>
      <c r="G91" s="7">
        <v>12.0</v>
      </c>
      <c r="H91" s="8"/>
      <c r="I91" s="8"/>
      <c r="J91" s="7">
        <v>179190.0</v>
      </c>
      <c r="K91" s="7">
        <v>179203.0</v>
      </c>
      <c r="L91" s="7">
        <v>6.0</v>
      </c>
      <c r="M91" s="2" t="s">
        <v>1320</v>
      </c>
      <c r="N91" s="9" t="s">
        <v>1322</v>
      </c>
      <c r="O91" s="2" t="s">
        <v>1325</v>
      </c>
      <c r="P91" s="2" t="s">
        <v>1326</v>
      </c>
      <c r="Q91" s="2" t="s">
        <v>1327</v>
      </c>
      <c r="R91" s="2" t="s">
        <v>50</v>
      </c>
      <c r="S91" s="2" t="s">
        <v>51</v>
      </c>
      <c r="T91" s="2" t="s">
        <v>170</v>
      </c>
      <c r="U91" s="2" t="s">
        <v>52</v>
      </c>
      <c r="V91" s="2" t="s">
        <v>1328</v>
      </c>
    </row>
    <row r="92">
      <c r="A92" s="2" t="s">
        <v>1329</v>
      </c>
      <c r="B92" s="2" t="s">
        <v>1330</v>
      </c>
      <c r="C92" s="2" t="s">
        <v>1331</v>
      </c>
      <c r="D92" s="2" t="s">
        <v>1332</v>
      </c>
      <c r="E92" s="7">
        <v>2024.0</v>
      </c>
      <c r="F92" s="2" t="s">
        <v>685</v>
      </c>
      <c r="G92" s="7">
        <v>12.0</v>
      </c>
      <c r="H92" s="8"/>
      <c r="I92" s="8"/>
      <c r="J92" s="7">
        <v>186819.0</v>
      </c>
      <c r="K92" s="7">
        <v>186835.0</v>
      </c>
      <c r="L92" s="7">
        <v>0.0</v>
      </c>
      <c r="M92" s="2" t="s">
        <v>1333</v>
      </c>
      <c r="N92" s="9" t="s">
        <v>1334</v>
      </c>
      <c r="O92" s="2" t="s">
        <v>1335</v>
      </c>
      <c r="P92" s="2" t="s">
        <v>1336</v>
      </c>
      <c r="Q92" s="2" t="s">
        <v>1337</v>
      </c>
      <c r="R92" s="2" t="s">
        <v>50</v>
      </c>
      <c r="S92" s="2" t="s">
        <v>51</v>
      </c>
      <c r="T92" s="2" t="s">
        <v>170</v>
      </c>
      <c r="U92" s="2" t="s">
        <v>52</v>
      </c>
      <c r="V92" s="2" t="s">
        <v>1338</v>
      </c>
    </row>
    <row r="93">
      <c r="A93" s="2" t="s">
        <v>1340</v>
      </c>
      <c r="B93" s="2" t="s">
        <v>1341</v>
      </c>
      <c r="C93" s="2" t="s">
        <v>1342</v>
      </c>
      <c r="D93" s="2" t="s">
        <v>1343</v>
      </c>
      <c r="E93" s="7">
        <v>2024.0</v>
      </c>
      <c r="F93" s="8"/>
      <c r="G93" s="8"/>
      <c r="H93" s="8"/>
      <c r="I93" s="8"/>
      <c r="J93" s="8"/>
      <c r="K93" s="8"/>
      <c r="L93" s="7">
        <v>2.0</v>
      </c>
      <c r="M93" s="2" t="s">
        <v>1345</v>
      </c>
      <c r="N93" s="9" t="s">
        <v>1346</v>
      </c>
      <c r="O93" s="2" t="s">
        <v>1348</v>
      </c>
      <c r="P93" s="2" t="s">
        <v>1349</v>
      </c>
      <c r="Q93" s="2" t="s">
        <v>1350</v>
      </c>
      <c r="R93" s="2" t="s">
        <v>83</v>
      </c>
      <c r="S93" s="2" t="s">
        <v>51</v>
      </c>
      <c r="T93" s="8"/>
      <c r="U93" s="2" t="s">
        <v>52</v>
      </c>
      <c r="V93" s="2" t="s">
        <v>1351</v>
      </c>
    </row>
    <row r="94">
      <c r="A94" s="2" t="s">
        <v>1352</v>
      </c>
      <c r="B94" s="2" t="s">
        <v>1353</v>
      </c>
      <c r="C94" s="2" t="s">
        <v>1354</v>
      </c>
      <c r="D94" s="2" t="s">
        <v>1355</v>
      </c>
      <c r="E94" s="7">
        <v>2024.0</v>
      </c>
      <c r="F94" s="2" t="s">
        <v>685</v>
      </c>
      <c r="G94" s="7">
        <v>12.0</v>
      </c>
      <c r="H94" s="8"/>
      <c r="I94" s="8"/>
      <c r="J94" s="7">
        <v>172297.0</v>
      </c>
      <c r="K94" s="7">
        <v>172324.0</v>
      </c>
      <c r="L94" s="7">
        <v>4.0</v>
      </c>
      <c r="M94" s="2" t="s">
        <v>1356</v>
      </c>
      <c r="N94" s="9" t="s">
        <v>1357</v>
      </c>
      <c r="O94" s="2" t="s">
        <v>1360</v>
      </c>
      <c r="P94" s="2" t="s">
        <v>1361</v>
      </c>
      <c r="Q94" s="2" t="s">
        <v>1362</v>
      </c>
      <c r="R94" s="2" t="s">
        <v>926</v>
      </c>
      <c r="S94" s="2" t="s">
        <v>51</v>
      </c>
      <c r="T94" s="2" t="s">
        <v>170</v>
      </c>
      <c r="U94" s="2" t="s">
        <v>52</v>
      </c>
      <c r="V94" s="2" t="s">
        <v>1363</v>
      </c>
    </row>
    <row r="95">
      <c r="A95" s="2" t="s">
        <v>1364</v>
      </c>
      <c r="B95" s="2" t="s">
        <v>1365</v>
      </c>
      <c r="C95" s="2" t="s">
        <v>1366</v>
      </c>
      <c r="D95" s="2" t="s">
        <v>1367</v>
      </c>
      <c r="E95" s="7">
        <v>2024.0</v>
      </c>
      <c r="F95" s="8"/>
      <c r="G95" s="8"/>
      <c r="H95" s="8"/>
      <c r="I95" s="8"/>
      <c r="J95" s="8"/>
      <c r="K95" s="8"/>
      <c r="L95" s="7">
        <v>0.0</v>
      </c>
      <c r="M95" s="2" t="s">
        <v>1368</v>
      </c>
      <c r="N95" s="9" t="s">
        <v>1369</v>
      </c>
      <c r="O95" s="2" t="s">
        <v>1371</v>
      </c>
      <c r="P95" s="2" t="s">
        <v>1372</v>
      </c>
      <c r="Q95" s="2" t="s">
        <v>1373</v>
      </c>
      <c r="R95" s="2" t="s">
        <v>83</v>
      </c>
      <c r="S95" s="2" t="s">
        <v>51</v>
      </c>
      <c r="T95" s="8"/>
      <c r="U95" s="2" t="s">
        <v>52</v>
      </c>
      <c r="V95" s="2" t="s">
        <v>1374</v>
      </c>
    </row>
    <row r="96">
      <c r="A96" s="8"/>
      <c r="B96" s="8"/>
      <c r="C96" s="8"/>
      <c r="D96" s="2" t="s">
        <v>625</v>
      </c>
      <c r="E96" s="7">
        <v>2024.0</v>
      </c>
      <c r="F96" s="2" t="s">
        <v>531</v>
      </c>
      <c r="G96" s="2" t="s">
        <v>1375</v>
      </c>
      <c r="H96" s="8"/>
      <c r="I96" s="8"/>
      <c r="J96" s="8"/>
      <c r="K96" s="8"/>
      <c r="L96" s="7">
        <v>0.0</v>
      </c>
      <c r="M96" s="8"/>
      <c r="N96" s="9" t="s">
        <v>1376</v>
      </c>
      <c r="O96" s="2" t="s">
        <v>631</v>
      </c>
      <c r="R96" s="2" t="s">
        <v>104</v>
      </c>
      <c r="S96" s="2" t="s">
        <v>51</v>
      </c>
      <c r="T96" s="8"/>
      <c r="U96" s="2" t="s">
        <v>52</v>
      </c>
      <c r="V96" s="2" t="s">
        <v>1379</v>
      </c>
    </row>
    <row r="97">
      <c r="A97" s="8"/>
      <c r="B97" s="8"/>
      <c r="C97" s="8"/>
      <c r="D97" s="2" t="s">
        <v>625</v>
      </c>
      <c r="E97" s="7">
        <v>2024.0</v>
      </c>
      <c r="F97" s="2" t="s">
        <v>531</v>
      </c>
      <c r="G97" s="2" t="s">
        <v>1380</v>
      </c>
      <c r="H97" s="8"/>
      <c r="I97" s="8"/>
      <c r="J97" s="8"/>
      <c r="K97" s="8"/>
      <c r="L97" s="7">
        <v>0.0</v>
      </c>
      <c r="M97" s="8"/>
      <c r="N97" s="9" t="s">
        <v>1382</v>
      </c>
      <c r="O97" s="2" t="s">
        <v>631</v>
      </c>
      <c r="R97" s="2" t="s">
        <v>104</v>
      </c>
      <c r="S97" s="2" t="s">
        <v>51</v>
      </c>
      <c r="T97" s="8"/>
      <c r="U97" s="2" t="s">
        <v>52</v>
      </c>
      <c r="V97" s="2" t="s">
        <v>1383</v>
      </c>
    </row>
    <row r="98">
      <c r="A98" s="8"/>
      <c r="B98" s="8"/>
      <c r="C98" s="8"/>
      <c r="D98" s="2" t="s">
        <v>625</v>
      </c>
      <c r="E98" s="7">
        <v>2024.0</v>
      </c>
      <c r="F98" s="2" t="s">
        <v>531</v>
      </c>
      <c r="G98" s="2" t="s">
        <v>1384</v>
      </c>
      <c r="H98" s="8"/>
      <c r="I98" s="8"/>
      <c r="J98" s="8"/>
      <c r="K98" s="8"/>
      <c r="L98" s="7">
        <v>0.0</v>
      </c>
      <c r="M98" s="8"/>
      <c r="N98" s="9" t="s">
        <v>1385</v>
      </c>
      <c r="O98" s="2" t="s">
        <v>631</v>
      </c>
      <c r="R98" s="2" t="s">
        <v>104</v>
      </c>
      <c r="S98" s="2" t="s">
        <v>51</v>
      </c>
      <c r="T98" s="8"/>
      <c r="U98" s="2" t="s">
        <v>52</v>
      </c>
      <c r="V98" s="2" t="s">
        <v>1386</v>
      </c>
    </row>
    <row r="99">
      <c r="A99" s="8"/>
      <c r="B99" s="8"/>
      <c r="C99" s="8"/>
      <c r="D99" s="2" t="s">
        <v>625</v>
      </c>
      <c r="E99" s="7">
        <v>2024.0</v>
      </c>
      <c r="F99" s="2" t="s">
        <v>531</v>
      </c>
      <c r="G99" s="2" t="s">
        <v>1387</v>
      </c>
      <c r="H99" s="8"/>
      <c r="I99" s="8"/>
      <c r="J99" s="8"/>
      <c r="K99" s="8"/>
      <c r="L99" s="7">
        <v>0.0</v>
      </c>
      <c r="M99" s="8"/>
      <c r="N99" s="9" t="s">
        <v>1389</v>
      </c>
      <c r="O99" s="2" t="s">
        <v>631</v>
      </c>
      <c r="R99" s="2" t="s">
        <v>104</v>
      </c>
      <c r="S99" s="2" t="s">
        <v>51</v>
      </c>
      <c r="T99" s="8"/>
      <c r="U99" s="2" t="s">
        <v>52</v>
      </c>
      <c r="V99" s="2" t="s">
        <v>1403</v>
      </c>
    </row>
    <row r="100">
      <c r="A100" s="8"/>
      <c r="B100" s="8"/>
      <c r="C100" s="8"/>
      <c r="D100" s="2" t="s">
        <v>1404</v>
      </c>
      <c r="E100" s="7">
        <v>2024.0</v>
      </c>
      <c r="F100" s="2" t="s">
        <v>76</v>
      </c>
      <c r="G100" s="2" t="s">
        <v>1406</v>
      </c>
      <c r="H100" s="8"/>
      <c r="I100" s="8"/>
      <c r="J100" s="8"/>
      <c r="K100" s="8"/>
      <c r="L100" s="7">
        <v>0.0</v>
      </c>
      <c r="M100" s="8"/>
      <c r="N100" s="9" t="s">
        <v>1409</v>
      </c>
      <c r="O100" s="2" t="s">
        <v>1417</v>
      </c>
      <c r="R100" s="2" t="s">
        <v>104</v>
      </c>
      <c r="S100" s="2" t="s">
        <v>51</v>
      </c>
      <c r="T100" s="8"/>
      <c r="U100" s="2" t="s">
        <v>52</v>
      </c>
      <c r="V100" s="2" t="s">
        <v>1418</v>
      </c>
    </row>
    <row r="101">
      <c r="A101" s="2" t="s">
        <v>1419</v>
      </c>
      <c r="B101" s="2" t="s">
        <v>1420</v>
      </c>
      <c r="C101" s="2" t="s">
        <v>1422</v>
      </c>
      <c r="D101" s="2" t="s">
        <v>1423</v>
      </c>
      <c r="E101" s="7">
        <v>2024.0</v>
      </c>
      <c r="F101" s="8"/>
      <c r="G101" s="8"/>
      <c r="H101" s="8"/>
      <c r="I101" s="8"/>
      <c r="J101" s="7">
        <v>184.0</v>
      </c>
      <c r="K101" s="7">
        <v>194.0</v>
      </c>
      <c r="L101" s="7">
        <v>2.0</v>
      </c>
      <c r="M101" s="2" t="s">
        <v>1427</v>
      </c>
      <c r="N101" s="9" t="s">
        <v>1429</v>
      </c>
      <c r="O101" s="2" t="s">
        <v>1434</v>
      </c>
      <c r="R101" s="2" t="s">
        <v>1059</v>
      </c>
      <c r="S101" s="2" t="s">
        <v>51</v>
      </c>
      <c r="T101" s="8"/>
      <c r="U101" s="2" t="s">
        <v>52</v>
      </c>
      <c r="V101" s="2" t="s">
        <v>1436</v>
      </c>
    </row>
    <row r="102">
      <c r="A102" s="2" t="s">
        <v>1437</v>
      </c>
      <c r="B102" s="2" t="s">
        <v>1438</v>
      </c>
      <c r="C102" s="2" t="s">
        <v>1439</v>
      </c>
      <c r="D102" s="2" t="s">
        <v>1440</v>
      </c>
      <c r="E102" s="7">
        <v>2024.0</v>
      </c>
      <c r="F102" s="8"/>
      <c r="G102" s="8"/>
      <c r="H102" s="8"/>
      <c r="I102" s="8"/>
      <c r="J102" s="8"/>
      <c r="K102" s="8"/>
      <c r="L102" s="7">
        <v>2.0</v>
      </c>
      <c r="M102" s="2" t="s">
        <v>1441</v>
      </c>
      <c r="N102" s="9" t="s">
        <v>1442</v>
      </c>
      <c r="O102" s="2" t="s">
        <v>1453</v>
      </c>
      <c r="P102" s="2" t="s">
        <v>1455</v>
      </c>
      <c r="Q102" s="2" t="s">
        <v>1457</v>
      </c>
      <c r="R102" s="2" t="s">
        <v>83</v>
      </c>
      <c r="S102" s="2" t="s">
        <v>51</v>
      </c>
      <c r="T102" s="8"/>
      <c r="U102" s="2" t="s">
        <v>52</v>
      </c>
      <c r="V102" s="2" t="s">
        <v>1459</v>
      </c>
    </row>
    <row r="103">
      <c r="A103" s="2" t="s">
        <v>1460</v>
      </c>
      <c r="B103" s="2" t="s">
        <v>1461</v>
      </c>
      <c r="C103" s="2" t="s">
        <v>1462</v>
      </c>
      <c r="D103" s="2" t="s">
        <v>1463</v>
      </c>
      <c r="E103" s="7">
        <v>2024.0</v>
      </c>
      <c r="F103" s="8"/>
      <c r="G103" s="8"/>
      <c r="H103" s="8"/>
      <c r="I103" s="8"/>
      <c r="J103" s="8"/>
      <c r="K103" s="8"/>
      <c r="L103" s="7">
        <v>1.0</v>
      </c>
      <c r="M103" s="2" t="s">
        <v>1465</v>
      </c>
      <c r="N103" s="9" t="s">
        <v>1466</v>
      </c>
      <c r="O103" s="2" t="s">
        <v>1474</v>
      </c>
      <c r="P103" s="2" t="s">
        <v>1475</v>
      </c>
      <c r="Q103" s="2" t="s">
        <v>1476</v>
      </c>
      <c r="R103" s="2" t="s">
        <v>83</v>
      </c>
      <c r="S103" s="2" t="s">
        <v>51</v>
      </c>
      <c r="T103" s="8"/>
      <c r="U103" s="2" t="s">
        <v>52</v>
      </c>
      <c r="V103" s="2" t="s">
        <v>1477</v>
      </c>
    </row>
    <row r="104">
      <c r="A104" s="2" t="s">
        <v>1478</v>
      </c>
      <c r="B104" s="2" t="s">
        <v>1479</v>
      </c>
      <c r="C104" s="2" t="s">
        <v>1480</v>
      </c>
      <c r="D104" s="2" t="s">
        <v>1482</v>
      </c>
      <c r="E104" s="7">
        <v>2024.0</v>
      </c>
      <c r="F104" s="8"/>
      <c r="G104" s="8"/>
      <c r="H104" s="8"/>
      <c r="I104" s="8"/>
      <c r="J104" s="8"/>
      <c r="K104" s="8"/>
      <c r="L104" s="7">
        <v>1.0</v>
      </c>
      <c r="M104" s="2" t="s">
        <v>1485</v>
      </c>
      <c r="N104" s="9" t="s">
        <v>1487</v>
      </c>
      <c r="O104" s="2" t="s">
        <v>1496</v>
      </c>
      <c r="P104" s="2" t="s">
        <v>1497</v>
      </c>
      <c r="Q104" s="2" t="s">
        <v>1498</v>
      </c>
      <c r="R104" s="2" t="s">
        <v>83</v>
      </c>
      <c r="S104" s="2" t="s">
        <v>51</v>
      </c>
      <c r="T104" s="8"/>
      <c r="U104" s="2" t="s">
        <v>52</v>
      </c>
      <c r="V104" s="2" t="s">
        <v>1499</v>
      </c>
    </row>
    <row r="105">
      <c r="A105" s="2" t="s">
        <v>1501</v>
      </c>
      <c r="B105" s="2" t="s">
        <v>1502</v>
      </c>
      <c r="C105" s="2" t="s">
        <v>1504</v>
      </c>
      <c r="D105" s="2" t="s">
        <v>1168</v>
      </c>
      <c r="E105" s="7">
        <v>2024.0</v>
      </c>
      <c r="F105" s="8"/>
      <c r="G105" s="8"/>
      <c r="H105" s="8"/>
      <c r="I105" s="8"/>
      <c r="J105" s="7">
        <v>143.0</v>
      </c>
      <c r="K105" s="7">
        <v>148.0</v>
      </c>
      <c r="L105" s="7">
        <v>4.0</v>
      </c>
      <c r="M105" s="2" t="s">
        <v>1507</v>
      </c>
      <c r="N105" s="9" t="s">
        <v>1508</v>
      </c>
      <c r="O105" s="2" t="s">
        <v>1519</v>
      </c>
      <c r="P105" s="2" t="s">
        <v>1520</v>
      </c>
      <c r="Q105" s="2" t="s">
        <v>1521</v>
      </c>
      <c r="R105" s="2" t="s">
        <v>83</v>
      </c>
      <c r="S105" s="2" t="s">
        <v>51</v>
      </c>
      <c r="T105" s="8"/>
      <c r="U105" s="2" t="s">
        <v>52</v>
      </c>
      <c r="V105" s="2" t="s">
        <v>1522</v>
      </c>
    </row>
    <row r="106">
      <c r="A106" s="2" t="s">
        <v>1524</v>
      </c>
      <c r="B106" s="2" t="s">
        <v>1527</v>
      </c>
      <c r="C106" s="2" t="s">
        <v>1528</v>
      </c>
      <c r="D106" s="2" t="s">
        <v>66</v>
      </c>
      <c r="E106" s="7">
        <v>2024.0</v>
      </c>
      <c r="F106" s="2" t="s">
        <v>100</v>
      </c>
      <c r="G106" s="2" t="s">
        <v>1530</v>
      </c>
      <c r="H106" s="8"/>
      <c r="I106" s="8"/>
      <c r="J106" s="7">
        <v>386.0</v>
      </c>
      <c r="K106" s="7">
        <v>396.0</v>
      </c>
      <c r="L106" s="7">
        <v>0.0</v>
      </c>
      <c r="M106" s="2" t="s">
        <v>1532</v>
      </c>
      <c r="N106" s="9" t="s">
        <v>1533</v>
      </c>
      <c r="O106" s="2" t="s">
        <v>1547</v>
      </c>
      <c r="P106" s="2" t="s">
        <v>1556</v>
      </c>
      <c r="Q106" s="2" t="s">
        <v>1558</v>
      </c>
      <c r="R106" s="2" t="s">
        <v>83</v>
      </c>
      <c r="S106" s="2" t="s">
        <v>51</v>
      </c>
      <c r="T106" s="8"/>
      <c r="U106" s="2" t="s">
        <v>52</v>
      </c>
      <c r="V106" s="2" t="s">
        <v>1562</v>
      </c>
    </row>
    <row r="107">
      <c r="A107" s="2" t="s">
        <v>747</v>
      </c>
      <c r="B107" s="2" t="s">
        <v>1566</v>
      </c>
      <c r="C107" s="2" t="s">
        <v>1567</v>
      </c>
      <c r="D107" s="2" t="s">
        <v>375</v>
      </c>
      <c r="E107" s="7">
        <v>2024.0</v>
      </c>
      <c r="F107" s="2" t="s">
        <v>1568</v>
      </c>
      <c r="G107" s="7">
        <v>28.0</v>
      </c>
      <c r="H107" s="7">
        <v>1.0</v>
      </c>
      <c r="I107" s="8"/>
      <c r="J107" s="7">
        <v>245.0</v>
      </c>
      <c r="K107" s="7">
        <v>256.0</v>
      </c>
      <c r="L107" s="7">
        <v>4.0</v>
      </c>
      <c r="M107" s="2" t="s">
        <v>1569</v>
      </c>
      <c r="N107" s="9" t="s">
        <v>752</v>
      </c>
      <c r="O107" s="2" t="s">
        <v>775</v>
      </c>
      <c r="P107" s="2" t="s">
        <v>1572</v>
      </c>
      <c r="R107" s="2" t="s">
        <v>50</v>
      </c>
      <c r="S107" s="2" t="s">
        <v>51</v>
      </c>
      <c r="T107" s="8"/>
      <c r="U107" s="2" t="s">
        <v>52</v>
      </c>
      <c r="V107" s="2" t="s">
        <v>1573</v>
      </c>
    </row>
    <row r="108">
      <c r="A108" s="2" t="s">
        <v>1574</v>
      </c>
      <c r="B108" s="2" t="s">
        <v>1575</v>
      </c>
      <c r="C108" s="7">
        <v>5.7218542441E10</v>
      </c>
      <c r="D108" s="2" t="s">
        <v>1576</v>
      </c>
      <c r="E108" s="7">
        <v>2024.0</v>
      </c>
      <c r="F108" s="8"/>
      <c r="G108" s="8"/>
      <c r="H108" s="8"/>
      <c r="I108" s="8"/>
      <c r="J108" s="8"/>
      <c r="K108" s="8"/>
      <c r="L108" s="7">
        <v>0.0</v>
      </c>
      <c r="M108" s="2" t="s">
        <v>1577</v>
      </c>
      <c r="N108" s="9" t="s">
        <v>1578</v>
      </c>
      <c r="O108" s="2" t="s">
        <v>1580</v>
      </c>
      <c r="P108" s="2" t="s">
        <v>1581</v>
      </c>
      <c r="Q108" s="2" t="s">
        <v>1582</v>
      </c>
      <c r="R108" s="2" t="s">
        <v>83</v>
      </c>
      <c r="S108" s="2" t="s">
        <v>51</v>
      </c>
      <c r="T108" s="8"/>
      <c r="U108" s="2" t="s">
        <v>52</v>
      </c>
      <c r="V108" s="2" t="s">
        <v>1583</v>
      </c>
    </row>
    <row r="109">
      <c r="A109" s="2" t="s">
        <v>1584</v>
      </c>
      <c r="B109" s="2" t="s">
        <v>1585</v>
      </c>
      <c r="C109" s="2" t="s">
        <v>1586</v>
      </c>
      <c r="D109" s="2" t="s">
        <v>1587</v>
      </c>
      <c r="E109" s="7">
        <v>2024.0</v>
      </c>
      <c r="F109" s="8"/>
      <c r="G109" s="8"/>
      <c r="H109" s="8"/>
      <c r="I109" s="8"/>
      <c r="J109" s="7">
        <v>398.0</v>
      </c>
      <c r="K109" s="7">
        <v>402.0</v>
      </c>
      <c r="L109" s="7">
        <v>0.0</v>
      </c>
      <c r="M109" s="2" t="s">
        <v>1588</v>
      </c>
      <c r="N109" s="9" t="s">
        <v>1589</v>
      </c>
      <c r="O109" s="2" t="s">
        <v>1590</v>
      </c>
      <c r="P109" s="2" t="s">
        <v>1591</v>
      </c>
      <c r="Q109" s="2" t="s">
        <v>1592</v>
      </c>
      <c r="R109" s="2" t="s">
        <v>83</v>
      </c>
      <c r="S109" s="2" t="s">
        <v>51</v>
      </c>
      <c r="T109" s="8"/>
      <c r="U109" s="2" t="s">
        <v>52</v>
      </c>
      <c r="V109" s="2" t="s">
        <v>1593</v>
      </c>
    </row>
    <row r="110">
      <c r="A110" s="2" t="s">
        <v>1594</v>
      </c>
      <c r="B110" s="2" t="s">
        <v>1595</v>
      </c>
      <c r="C110" s="2" t="s">
        <v>1596</v>
      </c>
      <c r="D110" s="2" t="s">
        <v>1597</v>
      </c>
      <c r="E110" s="7">
        <v>2024.0</v>
      </c>
      <c r="F110" s="8"/>
      <c r="G110" s="8"/>
      <c r="H110" s="8"/>
      <c r="I110" s="8"/>
      <c r="J110" s="7">
        <v>409.0</v>
      </c>
      <c r="K110" s="7">
        <v>415.0</v>
      </c>
      <c r="L110" s="7">
        <v>0.0</v>
      </c>
      <c r="M110" s="2" t="s">
        <v>1598</v>
      </c>
      <c r="N110" s="9" t="s">
        <v>1599</v>
      </c>
      <c r="O110" s="2" t="s">
        <v>1601</v>
      </c>
      <c r="Q110" s="2" t="s">
        <v>1602</v>
      </c>
      <c r="R110" s="2" t="s">
        <v>83</v>
      </c>
      <c r="S110" s="2" t="s">
        <v>51</v>
      </c>
      <c r="T110" s="8"/>
      <c r="U110" s="2" t="s">
        <v>52</v>
      </c>
      <c r="V110" s="2" t="s">
        <v>1603</v>
      </c>
    </row>
    <row r="111">
      <c r="A111" s="2" t="s">
        <v>1488</v>
      </c>
      <c r="B111" s="2" t="s">
        <v>1604</v>
      </c>
      <c r="C111" s="2" t="s">
        <v>1605</v>
      </c>
      <c r="D111" s="2" t="s">
        <v>349</v>
      </c>
      <c r="E111" s="7">
        <v>2023.0</v>
      </c>
      <c r="F111" s="8"/>
      <c r="G111" s="8"/>
      <c r="H111" s="8"/>
      <c r="I111" s="8"/>
      <c r="J111" s="7">
        <v>350.0</v>
      </c>
      <c r="K111" s="7">
        <v>353.0</v>
      </c>
      <c r="L111" s="7">
        <v>3.0</v>
      </c>
      <c r="M111" s="2" t="s">
        <v>1606</v>
      </c>
      <c r="N111" s="9" t="s">
        <v>1491</v>
      </c>
      <c r="O111" s="2" t="s">
        <v>1517</v>
      </c>
      <c r="P111" s="2" t="s">
        <v>1617</v>
      </c>
      <c r="Q111" s="2" t="s">
        <v>1618</v>
      </c>
      <c r="R111" s="2" t="s">
        <v>83</v>
      </c>
      <c r="S111" s="2" t="s">
        <v>51</v>
      </c>
      <c r="T111" s="8"/>
      <c r="U111" s="2" t="s">
        <v>52</v>
      </c>
      <c r="V111" s="2" t="s">
        <v>1620</v>
      </c>
    </row>
    <row r="112">
      <c r="A112" s="2" t="s">
        <v>1305</v>
      </c>
      <c r="B112" s="2" t="s">
        <v>1622</v>
      </c>
      <c r="C112" s="2" t="s">
        <v>1624</v>
      </c>
      <c r="D112" s="2" t="s">
        <v>1105</v>
      </c>
      <c r="E112" s="7">
        <v>2023.0</v>
      </c>
      <c r="F112" s="2" t="s">
        <v>1628</v>
      </c>
      <c r="G112" s="7">
        <v>12.0</v>
      </c>
      <c r="H112" s="7">
        <v>24.0</v>
      </c>
      <c r="I112" s="7">
        <v>4923.0</v>
      </c>
      <c r="J112" s="8"/>
      <c r="K112" s="8"/>
      <c r="L112" s="7">
        <v>7.0</v>
      </c>
      <c r="M112" s="2" t="s">
        <v>1630</v>
      </c>
      <c r="N112" s="9" t="s">
        <v>1306</v>
      </c>
      <c r="O112" s="2" t="s">
        <v>1321</v>
      </c>
      <c r="P112" s="2" t="s">
        <v>1644</v>
      </c>
      <c r="R112" s="2" t="s">
        <v>50</v>
      </c>
      <c r="S112" s="2" t="s">
        <v>51</v>
      </c>
      <c r="T112" s="2" t="s">
        <v>170</v>
      </c>
      <c r="U112" s="2" t="s">
        <v>52</v>
      </c>
      <c r="V112" s="2" t="s">
        <v>1647</v>
      </c>
    </row>
    <row r="113">
      <c r="A113" s="2" t="s">
        <v>591</v>
      </c>
      <c r="B113" s="2" t="s">
        <v>1649</v>
      </c>
      <c r="C113" s="2" t="s">
        <v>1650</v>
      </c>
      <c r="D113" s="2" t="s">
        <v>280</v>
      </c>
      <c r="E113" s="7">
        <v>2023.0</v>
      </c>
      <c r="F113" s="2" t="s">
        <v>427</v>
      </c>
      <c r="G113" s="7">
        <v>219.0</v>
      </c>
      <c r="H113" s="8"/>
      <c r="I113" s="7">
        <v>119643.0</v>
      </c>
      <c r="J113" s="8"/>
      <c r="K113" s="8"/>
      <c r="L113" s="7">
        <v>64.0</v>
      </c>
      <c r="M113" s="2" t="s">
        <v>1653</v>
      </c>
      <c r="N113" s="9" t="s">
        <v>595</v>
      </c>
      <c r="O113" s="2" t="s">
        <v>615</v>
      </c>
      <c r="P113" s="2" t="s">
        <v>1665</v>
      </c>
      <c r="Q113" s="2" t="s">
        <v>1668</v>
      </c>
      <c r="R113" s="2" t="s">
        <v>50</v>
      </c>
      <c r="S113" s="2" t="s">
        <v>51</v>
      </c>
      <c r="T113" s="8"/>
      <c r="U113" s="2" t="s">
        <v>52</v>
      </c>
      <c r="V113" s="2" t="s">
        <v>1669</v>
      </c>
    </row>
    <row r="114">
      <c r="A114" s="8"/>
      <c r="B114" s="8"/>
      <c r="C114" s="8"/>
      <c r="D114" s="2" t="s">
        <v>181</v>
      </c>
      <c r="E114" s="7">
        <v>2023.0</v>
      </c>
      <c r="F114" s="8"/>
      <c r="G114" s="8"/>
      <c r="H114" s="8"/>
      <c r="I114" s="8"/>
      <c r="J114" s="8"/>
      <c r="K114" s="8"/>
      <c r="L114" s="7">
        <v>0.0</v>
      </c>
      <c r="M114" s="8"/>
      <c r="N114" s="9" t="s">
        <v>182</v>
      </c>
      <c r="O114" s="2" t="s">
        <v>1377</v>
      </c>
      <c r="R114" s="2" t="s">
        <v>104</v>
      </c>
      <c r="S114" s="2" t="s">
        <v>51</v>
      </c>
      <c r="T114" s="8"/>
      <c r="U114" s="2" t="s">
        <v>52</v>
      </c>
      <c r="V114" s="2" t="s">
        <v>1687</v>
      </c>
    </row>
    <row r="115">
      <c r="A115" s="2" t="s">
        <v>525</v>
      </c>
      <c r="B115" s="2" t="s">
        <v>1688</v>
      </c>
      <c r="C115" s="2" t="s">
        <v>1689</v>
      </c>
      <c r="D115" s="2" t="s">
        <v>526</v>
      </c>
      <c r="E115" s="7">
        <v>2023.0</v>
      </c>
      <c r="F115" s="2" t="s">
        <v>1690</v>
      </c>
      <c r="G115" s="7">
        <v>20.0</v>
      </c>
      <c r="H115" s="7">
        <v>2.0</v>
      </c>
      <c r="I115" s="8"/>
      <c r="J115" s="7">
        <v>1529.0</v>
      </c>
      <c r="K115" s="7">
        <v>1539.0</v>
      </c>
      <c r="L115" s="7">
        <v>31.0</v>
      </c>
      <c r="M115" s="2" t="s">
        <v>1691</v>
      </c>
      <c r="N115" s="9" t="s">
        <v>527</v>
      </c>
      <c r="O115" s="2" t="s">
        <v>540</v>
      </c>
      <c r="P115" s="2" t="s">
        <v>1692</v>
      </c>
      <c r="Q115" s="2" t="s">
        <v>1693</v>
      </c>
      <c r="R115" s="2" t="s">
        <v>50</v>
      </c>
      <c r="S115" s="2" t="s">
        <v>51</v>
      </c>
      <c r="T115" s="8"/>
      <c r="U115" s="2" t="s">
        <v>52</v>
      </c>
      <c r="V115" s="2" t="s">
        <v>1694</v>
      </c>
    </row>
    <row r="116">
      <c r="A116" s="2" t="s">
        <v>1391</v>
      </c>
      <c r="B116" s="2" t="s">
        <v>1695</v>
      </c>
      <c r="C116" s="2" t="s">
        <v>1696</v>
      </c>
      <c r="D116" s="2" t="s">
        <v>1392</v>
      </c>
      <c r="E116" s="7">
        <v>2023.0</v>
      </c>
      <c r="F116" s="2" t="s">
        <v>1697</v>
      </c>
      <c r="G116" s="7">
        <v>39.0</v>
      </c>
      <c r="H116" s="7">
        <v>3.0</v>
      </c>
      <c r="I116" s="7">
        <v>29.0</v>
      </c>
      <c r="J116" s="8"/>
      <c r="K116" s="8"/>
      <c r="L116" s="7">
        <v>3.0</v>
      </c>
      <c r="M116" s="2" t="s">
        <v>1698</v>
      </c>
      <c r="N116" s="9" t="s">
        <v>1393</v>
      </c>
      <c r="O116" s="2" t="s">
        <v>1421</v>
      </c>
      <c r="P116" s="2" t="s">
        <v>1699</v>
      </c>
      <c r="R116" s="2" t="s">
        <v>50</v>
      </c>
      <c r="S116" s="2" t="s">
        <v>51</v>
      </c>
      <c r="T116" s="2" t="s">
        <v>170</v>
      </c>
      <c r="U116" s="2" t="s">
        <v>52</v>
      </c>
      <c r="V116" s="2" t="s">
        <v>1700</v>
      </c>
    </row>
    <row r="117">
      <c r="A117" s="2" t="s">
        <v>544</v>
      </c>
      <c r="B117" s="2" t="s">
        <v>1701</v>
      </c>
      <c r="C117" s="2" t="s">
        <v>1702</v>
      </c>
      <c r="D117" s="2" t="s">
        <v>546</v>
      </c>
      <c r="E117" s="7">
        <v>2023.0</v>
      </c>
      <c r="F117" s="8"/>
      <c r="G117" s="8"/>
      <c r="H117" s="8"/>
      <c r="I117" s="8"/>
      <c r="J117" s="7">
        <v>252.0</v>
      </c>
      <c r="K117" s="7">
        <v>257.0</v>
      </c>
      <c r="L117" s="7">
        <v>1.0</v>
      </c>
      <c r="M117" s="2" t="s">
        <v>1703</v>
      </c>
      <c r="N117" s="9" t="s">
        <v>548</v>
      </c>
      <c r="O117" s="2" t="s">
        <v>573</v>
      </c>
      <c r="P117" s="2" t="s">
        <v>1704</v>
      </c>
      <c r="Q117" s="2" t="s">
        <v>1705</v>
      </c>
      <c r="R117" s="2" t="s">
        <v>83</v>
      </c>
      <c r="S117" s="2" t="s">
        <v>51</v>
      </c>
      <c r="T117" s="8"/>
      <c r="U117" s="2" t="s">
        <v>52</v>
      </c>
      <c r="V117" s="2" t="s">
        <v>1706</v>
      </c>
    </row>
    <row r="118">
      <c r="A118" s="8"/>
      <c r="B118" s="8"/>
      <c r="C118" s="8"/>
      <c r="D118" s="2" t="s">
        <v>619</v>
      </c>
      <c r="E118" s="7">
        <v>2023.0</v>
      </c>
      <c r="F118" s="8"/>
      <c r="G118" s="8"/>
      <c r="H118" s="8"/>
      <c r="I118" s="8"/>
      <c r="J118" s="8"/>
      <c r="K118" s="8"/>
      <c r="L118" s="7">
        <v>0.0</v>
      </c>
      <c r="M118" s="8"/>
      <c r="N118" s="9" t="s">
        <v>621</v>
      </c>
      <c r="O118" s="2" t="s">
        <v>1571</v>
      </c>
      <c r="R118" s="2" t="s">
        <v>104</v>
      </c>
      <c r="S118" s="2" t="s">
        <v>51</v>
      </c>
      <c r="T118" s="8"/>
      <c r="U118" s="2" t="s">
        <v>52</v>
      </c>
      <c r="V118" s="2" t="s">
        <v>1707</v>
      </c>
    </row>
    <row r="119">
      <c r="A119" s="2" t="s">
        <v>508</v>
      </c>
      <c r="B119" s="2" t="s">
        <v>509</v>
      </c>
      <c r="C119" s="2" t="s">
        <v>510</v>
      </c>
      <c r="D119" s="2" t="s">
        <v>416</v>
      </c>
      <c r="E119" s="7">
        <v>2023.0</v>
      </c>
      <c r="F119" s="8"/>
      <c r="G119" s="8"/>
      <c r="H119" s="8"/>
      <c r="I119" s="8"/>
      <c r="J119" s="8"/>
      <c r="K119" s="8"/>
      <c r="L119" s="7">
        <v>3.0</v>
      </c>
      <c r="M119" s="2" t="s">
        <v>1708</v>
      </c>
      <c r="N119" s="9" t="s">
        <v>1359</v>
      </c>
      <c r="O119" s="2" t="s">
        <v>1370</v>
      </c>
      <c r="P119" s="2" t="s">
        <v>1709</v>
      </c>
      <c r="Q119" s="2" t="s">
        <v>1710</v>
      </c>
      <c r="R119" s="2" t="s">
        <v>83</v>
      </c>
      <c r="S119" s="2" t="s">
        <v>51</v>
      </c>
      <c r="T119" s="8"/>
      <c r="U119" s="2" t="s">
        <v>52</v>
      </c>
      <c r="V119" s="2" t="s">
        <v>1711</v>
      </c>
    </row>
    <row r="120">
      <c r="A120" s="2" t="s">
        <v>1323</v>
      </c>
      <c r="B120" s="2" t="s">
        <v>1712</v>
      </c>
      <c r="C120" s="2" t="s">
        <v>1713</v>
      </c>
      <c r="D120" s="2" t="s">
        <v>971</v>
      </c>
      <c r="E120" s="7">
        <v>2023.0</v>
      </c>
      <c r="F120" s="8"/>
      <c r="G120" s="8"/>
      <c r="H120" s="8"/>
      <c r="I120" s="8"/>
      <c r="J120" s="7">
        <v>383.0</v>
      </c>
      <c r="K120" s="7">
        <v>386.0</v>
      </c>
      <c r="L120" s="7">
        <v>3.0</v>
      </c>
      <c r="M120" s="2" t="s">
        <v>1714</v>
      </c>
      <c r="N120" s="9" t="s">
        <v>1324</v>
      </c>
      <c r="O120" s="2" t="s">
        <v>1339</v>
      </c>
      <c r="P120" s="2" t="s">
        <v>1715</v>
      </c>
      <c r="Q120" s="2" t="s">
        <v>1716</v>
      </c>
      <c r="R120" s="2" t="s">
        <v>83</v>
      </c>
      <c r="S120" s="2" t="s">
        <v>51</v>
      </c>
      <c r="T120" s="8"/>
      <c r="U120" s="2" t="s">
        <v>52</v>
      </c>
      <c r="V120" s="2" t="s">
        <v>1717</v>
      </c>
    </row>
    <row r="121">
      <c r="A121" s="2" t="s">
        <v>616</v>
      </c>
      <c r="B121" s="2" t="s">
        <v>1718</v>
      </c>
      <c r="C121" s="2" t="s">
        <v>1719</v>
      </c>
      <c r="D121" s="2" t="s">
        <v>618</v>
      </c>
      <c r="E121" s="7">
        <v>2023.0</v>
      </c>
      <c r="F121" s="8"/>
      <c r="G121" s="8"/>
      <c r="H121" s="8"/>
      <c r="I121" s="8"/>
      <c r="J121" s="8"/>
      <c r="K121" s="8"/>
      <c r="L121" s="7">
        <v>2.0</v>
      </c>
      <c r="M121" s="2" t="s">
        <v>1720</v>
      </c>
      <c r="N121" s="9" t="s">
        <v>620</v>
      </c>
      <c r="O121" s="2" t="s">
        <v>639</v>
      </c>
      <c r="P121" s="2" t="s">
        <v>1721</v>
      </c>
      <c r="Q121" s="2" t="s">
        <v>1722</v>
      </c>
      <c r="R121" s="2" t="s">
        <v>83</v>
      </c>
      <c r="S121" s="2" t="s">
        <v>51</v>
      </c>
      <c r="T121" s="8"/>
      <c r="U121" s="2" t="s">
        <v>52</v>
      </c>
      <c r="V121" s="2" t="s">
        <v>1723</v>
      </c>
    </row>
    <row r="122">
      <c r="A122" s="2" t="s">
        <v>575</v>
      </c>
      <c r="B122" s="2" t="s">
        <v>1724</v>
      </c>
      <c r="C122" s="2" t="s">
        <v>1725</v>
      </c>
      <c r="D122" s="2" t="s">
        <v>431</v>
      </c>
      <c r="E122" s="7">
        <v>2023.0</v>
      </c>
      <c r="F122" s="2" t="s">
        <v>685</v>
      </c>
      <c r="G122" s="7">
        <v>11.0</v>
      </c>
      <c r="H122" s="8"/>
      <c r="I122" s="8"/>
      <c r="J122" s="7">
        <v>124869.0</v>
      </c>
      <c r="K122" s="7">
        <v>124886.0</v>
      </c>
      <c r="L122" s="7">
        <v>12.0</v>
      </c>
      <c r="M122" s="2" t="s">
        <v>1726</v>
      </c>
      <c r="N122" s="9" t="s">
        <v>577</v>
      </c>
      <c r="O122" s="2" t="s">
        <v>590</v>
      </c>
      <c r="P122" s="2" t="s">
        <v>1727</v>
      </c>
      <c r="Q122" s="2" t="s">
        <v>1728</v>
      </c>
      <c r="R122" s="2" t="s">
        <v>50</v>
      </c>
      <c r="S122" s="2" t="s">
        <v>51</v>
      </c>
      <c r="T122" s="2" t="s">
        <v>170</v>
      </c>
      <c r="U122" s="2" t="s">
        <v>52</v>
      </c>
      <c r="V122" s="2" t="s">
        <v>1729</v>
      </c>
    </row>
    <row r="123">
      <c r="A123" s="8"/>
      <c r="B123" s="8"/>
      <c r="C123" s="8"/>
      <c r="D123" s="2" t="s">
        <v>301</v>
      </c>
      <c r="E123" s="7">
        <v>2023.0</v>
      </c>
      <c r="F123" s="8"/>
      <c r="G123" s="8"/>
      <c r="H123" s="8"/>
      <c r="I123" s="8"/>
      <c r="J123" s="8"/>
      <c r="K123" s="8"/>
      <c r="L123" s="7">
        <v>0.0</v>
      </c>
      <c r="M123" s="8"/>
      <c r="N123" s="9" t="s">
        <v>306</v>
      </c>
      <c r="O123" s="2" t="s">
        <v>1579</v>
      </c>
      <c r="R123" s="2" t="s">
        <v>104</v>
      </c>
      <c r="S123" s="2" t="s">
        <v>51</v>
      </c>
      <c r="T123" s="8"/>
      <c r="U123" s="2" t="s">
        <v>52</v>
      </c>
      <c r="V123" s="2" t="s">
        <v>1730</v>
      </c>
    </row>
    <row r="124">
      <c r="A124" s="8"/>
      <c r="B124" s="8"/>
      <c r="C124" s="8"/>
      <c r="D124" s="2" t="s">
        <v>1068</v>
      </c>
      <c r="E124" s="7">
        <v>2023.0</v>
      </c>
      <c r="F124" s="2" t="s">
        <v>531</v>
      </c>
      <c r="G124" s="2" t="s">
        <v>1731</v>
      </c>
      <c r="H124" s="8"/>
      <c r="I124" s="8"/>
      <c r="J124" s="8"/>
      <c r="K124" s="8"/>
      <c r="L124" s="7">
        <v>0.0</v>
      </c>
      <c r="M124" s="8"/>
      <c r="N124" s="9" t="s">
        <v>1069</v>
      </c>
      <c r="O124" s="2" t="s">
        <v>1570</v>
      </c>
      <c r="R124" s="2" t="s">
        <v>104</v>
      </c>
      <c r="S124" s="2" t="s">
        <v>51</v>
      </c>
      <c r="T124" s="8"/>
      <c r="U124" s="2" t="s">
        <v>52</v>
      </c>
      <c r="V124" s="2" t="s">
        <v>1732</v>
      </c>
    </row>
    <row r="125">
      <c r="A125" s="2" t="s">
        <v>1446</v>
      </c>
      <c r="B125" s="2" t="s">
        <v>1733</v>
      </c>
      <c r="C125" s="2" t="s">
        <v>1734</v>
      </c>
      <c r="D125" s="2" t="s">
        <v>1447</v>
      </c>
      <c r="E125" s="7">
        <v>2023.0</v>
      </c>
      <c r="F125" s="2" t="s">
        <v>1735</v>
      </c>
      <c r="G125" s="7">
        <v>28.0</v>
      </c>
      <c r="H125" s="7">
        <v>4.0</v>
      </c>
      <c r="I125" s="8"/>
      <c r="J125" s="7">
        <v>1119.0</v>
      </c>
      <c r="K125" s="7">
        <v>1133.0</v>
      </c>
      <c r="L125" s="7">
        <v>1.0</v>
      </c>
      <c r="M125" s="2" t="s">
        <v>1736</v>
      </c>
      <c r="N125" s="9" t="s">
        <v>1448</v>
      </c>
      <c r="O125" s="2" t="s">
        <v>1486</v>
      </c>
      <c r="P125" s="2" t="s">
        <v>1737</v>
      </c>
      <c r="R125" s="2" t="s">
        <v>50</v>
      </c>
      <c r="S125" s="2" t="s">
        <v>51</v>
      </c>
      <c r="T125" s="2" t="s">
        <v>199</v>
      </c>
      <c r="U125" s="2" t="s">
        <v>52</v>
      </c>
      <c r="V125" s="2" t="s">
        <v>1738</v>
      </c>
    </row>
    <row r="126">
      <c r="A126" s="8"/>
      <c r="B126" s="8"/>
      <c r="C126" s="8"/>
      <c r="D126" s="2" t="s">
        <v>151</v>
      </c>
      <c r="E126" s="7">
        <v>2023.0</v>
      </c>
      <c r="F126" s="2" t="s">
        <v>531</v>
      </c>
      <c r="G126" s="2" t="s">
        <v>1739</v>
      </c>
      <c r="H126" s="8"/>
      <c r="I126" s="8"/>
      <c r="J126" s="8"/>
      <c r="K126" s="8"/>
      <c r="L126" s="7">
        <v>0.0</v>
      </c>
      <c r="M126" s="8"/>
      <c r="N126" s="9" t="s">
        <v>152</v>
      </c>
      <c r="O126" s="2" t="s">
        <v>1555</v>
      </c>
      <c r="R126" s="2" t="s">
        <v>104</v>
      </c>
      <c r="S126" s="2" t="s">
        <v>51</v>
      </c>
      <c r="T126" s="8"/>
      <c r="U126" s="2" t="s">
        <v>52</v>
      </c>
      <c r="V126" s="2" t="s">
        <v>1740</v>
      </c>
    </row>
    <row r="127">
      <c r="A127" s="2" t="s">
        <v>1425</v>
      </c>
      <c r="B127" s="2" t="s">
        <v>1741</v>
      </c>
      <c r="C127" s="2" t="s">
        <v>1742</v>
      </c>
      <c r="D127" s="2" t="s">
        <v>273</v>
      </c>
      <c r="E127" s="7">
        <v>2023.0</v>
      </c>
      <c r="F127" s="2" t="s">
        <v>1743</v>
      </c>
      <c r="G127" s="7">
        <v>20.0</v>
      </c>
      <c r="H127" s="7">
        <v>6.0</v>
      </c>
      <c r="I127" s="8"/>
      <c r="J127" s="7">
        <v>10404.0</v>
      </c>
      <c r="K127" s="7">
        <v>10427.0</v>
      </c>
      <c r="L127" s="7">
        <v>17.0</v>
      </c>
      <c r="M127" s="2" t="s">
        <v>1744</v>
      </c>
      <c r="N127" s="9" t="s">
        <v>1431</v>
      </c>
      <c r="O127" s="2" t="s">
        <v>1445</v>
      </c>
      <c r="P127" s="2" t="s">
        <v>1745</v>
      </c>
      <c r="Q127" s="2" t="s">
        <v>1746</v>
      </c>
      <c r="R127" s="2" t="s">
        <v>926</v>
      </c>
      <c r="S127" s="2" t="s">
        <v>51</v>
      </c>
      <c r="T127" s="2" t="s">
        <v>170</v>
      </c>
      <c r="U127" s="2" t="s">
        <v>52</v>
      </c>
      <c r="V127" s="2" t="s">
        <v>1747</v>
      </c>
    </row>
    <row r="128">
      <c r="A128" s="2" t="s">
        <v>1378</v>
      </c>
      <c r="B128" s="2" t="s">
        <v>1748</v>
      </c>
      <c r="C128" s="2" t="s">
        <v>1749</v>
      </c>
      <c r="D128" s="2" t="s">
        <v>1058</v>
      </c>
      <c r="E128" s="7">
        <v>2023.0</v>
      </c>
      <c r="F128" s="2" t="s">
        <v>1750</v>
      </c>
      <c r="G128" s="7">
        <v>14.0</v>
      </c>
      <c r="H128" s="8"/>
      <c r="I128" s="7">
        <v>100306.0</v>
      </c>
      <c r="J128" s="8"/>
      <c r="K128" s="8"/>
      <c r="L128" s="7">
        <v>19.0</v>
      </c>
      <c r="M128" s="2" t="s">
        <v>1751</v>
      </c>
      <c r="N128" s="9" t="s">
        <v>1381</v>
      </c>
      <c r="O128" s="2" t="s">
        <v>1388</v>
      </c>
      <c r="P128" s="2" t="s">
        <v>1752</v>
      </c>
      <c r="R128" s="2" t="s">
        <v>50</v>
      </c>
      <c r="S128" s="2" t="s">
        <v>51</v>
      </c>
      <c r="T128" s="2" t="s">
        <v>141</v>
      </c>
      <c r="U128" s="2" t="s">
        <v>52</v>
      </c>
      <c r="V128" s="2" t="s">
        <v>1753</v>
      </c>
    </row>
    <row r="129">
      <c r="A129" s="2" t="s">
        <v>1344</v>
      </c>
      <c r="B129" s="2" t="s">
        <v>1754</v>
      </c>
      <c r="C129" s="2" t="s">
        <v>1755</v>
      </c>
      <c r="D129" s="2" t="s">
        <v>455</v>
      </c>
      <c r="E129" s="7">
        <v>2023.0</v>
      </c>
      <c r="F129" s="2" t="s">
        <v>1756</v>
      </c>
      <c r="G129" s="7">
        <v>13.0</v>
      </c>
      <c r="H129" s="7">
        <v>2.0</v>
      </c>
      <c r="I129" s="7">
        <v>299.0</v>
      </c>
      <c r="J129" s="8"/>
      <c r="K129" s="8"/>
      <c r="L129" s="7">
        <v>16.0</v>
      </c>
      <c r="M129" s="2" t="s">
        <v>1757</v>
      </c>
      <c r="N129" s="9" t="s">
        <v>1347</v>
      </c>
      <c r="O129" s="2" t="s">
        <v>1358</v>
      </c>
      <c r="P129" s="2" t="s">
        <v>1758</v>
      </c>
      <c r="Q129" s="2" t="s">
        <v>1759</v>
      </c>
      <c r="R129" s="2" t="s">
        <v>50</v>
      </c>
      <c r="S129" s="2" t="s">
        <v>51</v>
      </c>
      <c r="T129" s="2" t="s">
        <v>141</v>
      </c>
      <c r="U129" s="2" t="s">
        <v>52</v>
      </c>
      <c r="V129" s="2" t="s">
        <v>1760</v>
      </c>
    </row>
    <row r="130">
      <c r="A130" s="2" t="s">
        <v>1288</v>
      </c>
      <c r="B130" s="2" t="s">
        <v>1761</v>
      </c>
      <c r="C130" s="2" t="s">
        <v>1762</v>
      </c>
      <c r="D130" s="2" t="s">
        <v>994</v>
      </c>
      <c r="E130" s="7">
        <v>2023.0</v>
      </c>
      <c r="F130" s="2" t="s">
        <v>1763</v>
      </c>
      <c r="G130" s="7">
        <v>15.0</v>
      </c>
      <c r="H130" s="7">
        <v>1.0</v>
      </c>
      <c r="I130" s="7">
        <v>12.0</v>
      </c>
      <c r="J130" s="8"/>
      <c r="K130" s="8"/>
      <c r="L130" s="7">
        <v>34.0</v>
      </c>
      <c r="M130" s="2" t="s">
        <v>1764</v>
      </c>
      <c r="N130" s="9" t="s">
        <v>1289</v>
      </c>
      <c r="O130" s="2" t="s">
        <v>1304</v>
      </c>
      <c r="P130" s="2" t="s">
        <v>1765</v>
      </c>
      <c r="Q130" s="2" t="s">
        <v>1766</v>
      </c>
      <c r="R130" s="2" t="s">
        <v>50</v>
      </c>
      <c r="S130" s="2" t="s">
        <v>51</v>
      </c>
      <c r="T130" s="2" t="s">
        <v>141</v>
      </c>
      <c r="U130" s="2" t="s">
        <v>52</v>
      </c>
      <c r="V130" s="2" t="s">
        <v>1767</v>
      </c>
    </row>
    <row r="131">
      <c r="A131" s="2" t="s">
        <v>1212</v>
      </c>
      <c r="B131" s="2" t="s">
        <v>1768</v>
      </c>
      <c r="C131" s="2" t="s">
        <v>1769</v>
      </c>
      <c r="D131" s="2" t="s">
        <v>291</v>
      </c>
      <c r="E131" s="7">
        <v>2022.0</v>
      </c>
      <c r="F131" s="2" t="s">
        <v>1770</v>
      </c>
      <c r="G131" s="7">
        <v>216.0</v>
      </c>
      <c r="H131" s="8"/>
      <c r="I131" s="7">
        <v>114635.0</v>
      </c>
      <c r="J131" s="8"/>
      <c r="K131" s="8"/>
      <c r="L131" s="7">
        <v>62.0</v>
      </c>
      <c r="M131" s="2" t="s">
        <v>1771</v>
      </c>
      <c r="N131" s="9" t="s">
        <v>1216</v>
      </c>
      <c r="O131" s="2" t="s">
        <v>1223</v>
      </c>
      <c r="P131" s="2" t="s">
        <v>1772</v>
      </c>
      <c r="Q131" s="2" t="s">
        <v>1773</v>
      </c>
      <c r="R131" s="2" t="s">
        <v>926</v>
      </c>
      <c r="S131" s="2" t="s">
        <v>51</v>
      </c>
      <c r="T131" s="8"/>
      <c r="U131" s="2" t="s">
        <v>52</v>
      </c>
      <c r="V131" s="2" t="s">
        <v>1774</v>
      </c>
    </row>
    <row r="132">
      <c r="A132" s="2" t="s">
        <v>502</v>
      </c>
      <c r="B132" s="2" t="s">
        <v>1775</v>
      </c>
      <c r="C132" s="2" t="s">
        <v>1776</v>
      </c>
      <c r="D132" s="2" t="s">
        <v>195</v>
      </c>
      <c r="E132" s="7">
        <v>2022.0</v>
      </c>
      <c r="F132" s="2" t="s">
        <v>400</v>
      </c>
      <c r="G132" s="7">
        <v>9.0</v>
      </c>
      <c r="H132" s="7">
        <v>6.0</v>
      </c>
      <c r="I132" s="7">
        <v>261.0</v>
      </c>
      <c r="J132" s="8"/>
      <c r="K132" s="8"/>
      <c r="L132" s="7">
        <v>30.0</v>
      </c>
      <c r="M132" s="2" t="s">
        <v>1777</v>
      </c>
      <c r="N132" s="9" t="s">
        <v>503</v>
      </c>
      <c r="O132" s="2" t="s">
        <v>523</v>
      </c>
      <c r="P132" s="2" t="s">
        <v>1778</v>
      </c>
      <c r="R132" s="2" t="s">
        <v>50</v>
      </c>
      <c r="S132" s="2" t="s">
        <v>51</v>
      </c>
      <c r="T132" s="2" t="s">
        <v>141</v>
      </c>
      <c r="U132" s="2" t="s">
        <v>52</v>
      </c>
      <c r="V132" s="2" t="s">
        <v>1779</v>
      </c>
    </row>
    <row r="133">
      <c r="A133" s="2" t="s">
        <v>1204</v>
      </c>
      <c r="B133" s="2" t="s">
        <v>1780</v>
      </c>
      <c r="C133" s="2" t="s">
        <v>1781</v>
      </c>
      <c r="D133" s="2" t="s">
        <v>108</v>
      </c>
      <c r="E133" s="7">
        <v>2022.0</v>
      </c>
      <c r="F133" s="2" t="s">
        <v>1153</v>
      </c>
      <c r="G133" s="7">
        <v>14.0</v>
      </c>
      <c r="H133" s="7">
        <v>2.0</v>
      </c>
      <c r="I133" s="8"/>
      <c r="J133" s="7">
        <v>566.0</v>
      </c>
      <c r="K133" s="7">
        <v>581.0</v>
      </c>
      <c r="L133" s="7">
        <v>22.0</v>
      </c>
      <c r="M133" s="2" t="s">
        <v>1782</v>
      </c>
      <c r="N133" s="9" t="s">
        <v>1207</v>
      </c>
      <c r="O133" s="2" t="s">
        <v>1209</v>
      </c>
      <c r="P133" s="2" t="s">
        <v>1783</v>
      </c>
      <c r="Q133" s="2" t="s">
        <v>1784</v>
      </c>
      <c r="R133" s="2" t="s">
        <v>50</v>
      </c>
      <c r="S133" s="2" t="s">
        <v>51</v>
      </c>
      <c r="T133" s="8"/>
      <c r="U133" s="2" t="s">
        <v>52</v>
      </c>
      <c r="V133" s="2" t="s">
        <v>1785</v>
      </c>
    </row>
    <row r="134">
      <c r="A134" s="8"/>
      <c r="B134" s="8"/>
      <c r="C134" s="8"/>
      <c r="D134" s="2" t="s">
        <v>297</v>
      </c>
      <c r="E134" s="7">
        <v>2022.0</v>
      </c>
      <c r="F134" s="2" t="s">
        <v>1786</v>
      </c>
      <c r="G134" s="58">
        <v>44896.0</v>
      </c>
      <c r="I134" s="8"/>
      <c r="J134" s="8"/>
      <c r="K134" s="8"/>
      <c r="L134" s="7">
        <v>0.0</v>
      </c>
      <c r="M134" s="8"/>
      <c r="N134" s="9" t="s">
        <v>382</v>
      </c>
      <c r="O134" s="2" t="s">
        <v>1268</v>
      </c>
      <c r="R134" s="2" t="s">
        <v>104</v>
      </c>
      <c r="S134" s="2" t="s">
        <v>51</v>
      </c>
      <c r="T134" s="8"/>
      <c r="U134" s="2" t="s">
        <v>52</v>
      </c>
      <c r="V134" s="2" t="s">
        <v>1787</v>
      </c>
    </row>
    <row r="135">
      <c r="A135" s="8"/>
      <c r="B135" s="8"/>
      <c r="C135" s="8"/>
      <c r="D135" s="2" t="s">
        <v>303</v>
      </c>
      <c r="E135" s="7">
        <v>2022.0</v>
      </c>
      <c r="F135" s="8"/>
      <c r="G135" s="8"/>
      <c r="H135" s="8"/>
      <c r="I135" s="8"/>
      <c r="J135" s="8"/>
      <c r="K135" s="8"/>
      <c r="L135" s="7">
        <v>0.0</v>
      </c>
      <c r="M135" s="8"/>
      <c r="N135" s="9" t="s">
        <v>404</v>
      </c>
      <c r="O135" s="2" t="s">
        <v>1190</v>
      </c>
      <c r="R135" s="2" t="s">
        <v>104</v>
      </c>
      <c r="S135" s="2" t="s">
        <v>51</v>
      </c>
      <c r="T135" s="8"/>
      <c r="U135" s="2" t="s">
        <v>52</v>
      </c>
      <c r="V135" s="2" t="s">
        <v>1788</v>
      </c>
    </row>
    <row r="136">
      <c r="A136" s="2" t="s">
        <v>480</v>
      </c>
      <c r="B136" s="2" t="s">
        <v>1789</v>
      </c>
      <c r="C136" s="2" t="s">
        <v>1790</v>
      </c>
      <c r="D136" s="2" t="s">
        <v>309</v>
      </c>
      <c r="E136" s="7">
        <v>2022.0</v>
      </c>
      <c r="F136" s="2" t="s">
        <v>1791</v>
      </c>
      <c r="G136" s="7">
        <v>18.0</v>
      </c>
      <c r="H136" s="7">
        <v>6.0</v>
      </c>
      <c r="I136" s="8"/>
      <c r="J136" s="7">
        <v>1913.0</v>
      </c>
      <c r="K136" s="7">
        <v>1930.0</v>
      </c>
      <c r="L136" s="7">
        <v>3.0</v>
      </c>
      <c r="M136" s="2" t="s">
        <v>1792</v>
      </c>
      <c r="N136" s="9" t="s">
        <v>482</v>
      </c>
      <c r="O136" s="2" t="s">
        <v>500</v>
      </c>
      <c r="P136" s="2" t="s">
        <v>1793</v>
      </c>
      <c r="R136" s="2" t="s">
        <v>50</v>
      </c>
      <c r="S136" s="2" t="s">
        <v>51</v>
      </c>
      <c r="T136" s="2" t="s">
        <v>170</v>
      </c>
      <c r="U136" s="2" t="s">
        <v>52</v>
      </c>
      <c r="V136" s="2" t="s">
        <v>1794</v>
      </c>
    </row>
    <row r="137">
      <c r="A137" s="2" t="s">
        <v>318</v>
      </c>
      <c r="B137" s="2" t="s">
        <v>1795</v>
      </c>
      <c r="C137" s="2" t="s">
        <v>1796</v>
      </c>
      <c r="D137" s="2" t="s">
        <v>312</v>
      </c>
      <c r="E137" s="7">
        <v>2022.0</v>
      </c>
      <c r="F137" s="2" t="s">
        <v>1797</v>
      </c>
      <c r="G137" s="7">
        <v>50.0</v>
      </c>
      <c r="H137" s="7">
        <v>2.0</v>
      </c>
      <c r="I137" s="8"/>
      <c r="J137" s="7">
        <v>1.0</v>
      </c>
      <c r="K137" s="7">
        <v>19.0</v>
      </c>
      <c r="L137" s="7">
        <v>13.0</v>
      </c>
      <c r="M137" s="2" t="s">
        <v>1798</v>
      </c>
      <c r="N137" s="9" t="s">
        <v>364</v>
      </c>
      <c r="O137" s="2" t="s">
        <v>477</v>
      </c>
      <c r="Q137" s="2" t="s">
        <v>1799</v>
      </c>
      <c r="R137" s="2" t="s">
        <v>50</v>
      </c>
      <c r="S137" s="2" t="s">
        <v>51</v>
      </c>
      <c r="T137" s="8"/>
      <c r="U137" s="2" t="s">
        <v>52</v>
      </c>
      <c r="V137" s="2" t="s">
        <v>1800</v>
      </c>
    </row>
    <row r="138">
      <c r="A138" s="2" t="s">
        <v>1193</v>
      </c>
      <c r="B138" s="2" t="s">
        <v>1801</v>
      </c>
      <c r="C138" s="2" t="s">
        <v>1802</v>
      </c>
      <c r="D138" s="2" t="s">
        <v>316</v>
      </c>
      <c r="E138" s="7">
        <v>2022.0</v>
      </c>
      <c r="F138" s="2" t="s">
        <v>76</v>
      </c>
      <c r="G138" s="2" t="s">
        <v>1803</v>
      </c>
      <c r="H138" s="8"/>
      <c r="I138" s="8"/>
      <c r="J138" s="7">
        <v>283.0</v>
      </c>
      <c r="K138" s="7">
        <v>290.0</v>
      </c>
      <c r="L138" s="7">
        <v>4.0</v>
      </c>
      <c r="M138" s="2" t="s">
        <v>1804</v>
      </c>
      <c r="N138" s="9" t="s">
        <v>1197</v>
      </c>
      <c r="O138" s="2" t="s">
        <v>1203</v>
      </c>
      <c r="P138" s="2" t="s">
        <v>1805</v>
      </c>
      <c r="Q138" s="2" t="s">
        <v>1806</v>
      </c>
      <c r="R138" s="2" t="s">
        <v>83</v>
      </c>
      <c r="S138" s="2" t="s">
        <v>51</v>
      </c>
      <c r="T138" s="8"/>
      <c r="U138" s="2" t="s">
        <v>52</v>
      </c>
      <c r="V138" s="2" t="s">
        <v>1807</v>
      </c>
    </row>
    <row r="139">
      <c r="A139" s="8"/>
      <c r="B139" s="8"/>
      <c r="C139" s="8"/>
      <c r="D139" s="2" t="s">
        <v>255</v>
      </c>
      <c r="E139" s="7">
        <v>2022.0</v>
      </c>
      <c r="F139" s="2" t="s">
        <v>76</v>
      </c>
      <c r="G139" s="2" t="s">
        <v>1808</v>
      </c>
      <c r="H139" s="8"/>
      <c r="I139" s="8"/>
      <c r="J139" s="8"/>
      <c r="K139" s="8"/>
      <c r="L139" s="7">
        <v>0.0</v>
      </c>
      <c r="M139" s="8"/>
      <c r="N139" s="9" t="s">
        <v>256</v>
      </c>
      <c r="O139" s="2" t="s">
        <v>1286</v>
      </c>
      <c r="R139" s="2" t="s">
        <v>104</v>
      </c>
      <c r="S139" s="2" t="s">
        <v>51</v>
      </c>
      <c r="T139" s="8"/>
      <c r="U139" s="2" t="s">
        <v>52</v>
      </c>
      <c r="V139" s="2" t="s">
        <v>1809</v>
      </c>
    </row>
    <row r="140">
      <c r="A140" s="2" t="s">
        <v>1225</v>
      </c>
      <c r="B140" s="2" t="s">
        <v>1810</v>
      </c>
      <c r="C140" s="2" t="s">
        <v>1811</v>
      </c>
      <c r="D140" s="2" t="s">
        <v>756</v>
      </c>
      <c r="E140" s="7">
        <v>2022.0</v>
      </c>
      <c r="F140" s="2" t="s">
        <v>1812</v>
      </c>
      <c r="G140" s="7">
        <v>2022.0</v>
      </c>
      <c r="H140" s="8"/>
      <c r="I140" s="7">
        <v>3714422.0</v>
      </c>
      <c r="J140" s="8"/>
      <c r="K140" s="8"/>
      <c r="L140" s="7">
        <v>23.0</v>
      </c>
      <c r="M140" s="2" t="s">
        <v>1813</v>
      </c>
      <c r="N140" s="9" t="s">
        <v>1228</v>
      </c>
      <c r="O140" s="2" t="s">
        <v>1241</v>
      </c>
      <c r="Q140" s="2" t="s">
        <v>1814</v>
      </c>
      <c r="R140" s="2" t="s">
        <v>1815</v>
      </c>
      <c r="S140" s="2" t="s">
        <v>51</v>
      </c>
      <c r="T140" s="2" t="s">
        <v>156</v>
      </c>
      <c r="U140" s="2" t="s">
        <v>52</v>
      </c>
      <c r="V140" s="2" t="s">
        <v>1816</v>
      </c>
    </row>
    <row r="141">
      <c r="A141" s="8"/>
      <c r="B141" s="8"/>
      <c r="C141" s="8"/>
      <c r="D141" s="2" t="s">
        <v>683</v>
      </c>
      <c r="E141" s="7">
        <v>2022.0</v>
      </c>
      <c r="F141" s="2" t="s">
        <v>100</v>
      </c>
      <c r="G141" s="2" t="s">
        <v>1817</v>
      </c>
      <c r="H141" s="8"/>
      <c r="I141" s="8"/>
      <c r="J141" s="8"/>
      <c r="K141" s="8"/>
      <c r="L141" s="7">
        <v>0.0</v>
      </c>
      <c r="M141" s="8"/>
      <c r="N141" s="9" t="s">
        <v>686</v>
      </c>
      <c r="O141" s="2" t="s">
        <v>1257</v>
      </c>
      <c r="R141" s="2" t="s">
        <v>104</v>
      </c>
      <c r="S141" s="2" t="s">
        <v>51</v>
      </c>
      <c r="T141" s="8"/>
      <c r="U141" s="2" t="s">
        <v>52</v>
      </c>
      <c r="V141" s="2" t="s">
        <v>1818</v>
      </c>
    </row>
    <row r="142">
      <c r="A142" s="2" t="s">
        <v>335</v>
      </c>
      <c r="B142" s="2" t="s">
        <v>1819</v>
      </c>
      <c r="C142" s="2" t="s">
        <v>1820</v>
      </c>
      <c r="D142" s="2" t="s">
        <v>337</v>
      </c>
      <c r="E142" s="7">
        <v>2021.0</v>
      </c>
      <c r="F142" s="2" t="s">
        <v>1821</v>
      </c>
      <c r="G142" s="7">
        <v>1755.0</v>
      </c>
      <c r="H142" s="7">
        <v>1.0</v>
      </c>
      <c r="I142" s="7">
        <v>12026.0</v>
      </c>
      <c r="J142" s="8"/>
      <c r="K142" s="8"/>
      <c r="L142" s="7">
        <v>8.0</v>
      </c>
      <c r="M142" s="2" t="s">
        <v>1822</v>
      </c>
      <c r="N142" s="9" t="s">
        <v>340</v>
      </c>
      <c r="O142" s="2" t="s">
        <v>362</v>
      </c>
      <c r="Q142" s="2" t="s">
        <v>1824</v>
      </c>
      <c r="R142" s="2" t="s">
        <v>83</v>
      </c>
      <c r="S142" s="2" t="s">
        <v>51</v>
      </c>
      <c r="T142" s="2" t="s">
        <v>170</v>
      </c>
      <c r="U142" s="2" t="s">
        <v>52</v>
      </c>
      <c r="V142" s="2" t="s">
        <v>1825</v>
      </c>
    </row>
    <row r="143">
      <c r="A143" s="2" t="s">
        <v>1079</v>
      </c>
      <c r="B143" s="2" t="s">
        <v>1826</v>
      </c>
      <c r="C143" s="2" t="s">
        <v>1827</v>
      </c>
      <c r="D143" s="2" t="s">
        <v>321</v>
      </c>
      <c r="E143" s="7">
        <v>2021.0</v>
      </c>
      <c r="F143" s="8"/>
      <c r="G143" s="8"/>
      <c r="H143" s="8"/>
      <c r="I143" s="8"/>
      <c r="J143" s="8"/>
      <c r="K143" s="8"/>
      <c r="L143" s="7">
        <v>6.0</v>
      </c>
      <c r="M143" s="2" t="s">
        <v>1828</v>
      </c>
      <c r="N143" s="9" t="s">
        <v>1082</v>
      </c>
      <c r="O143" s="2" t="s">
        <v>1097</v>
      </c>
      <c r="P143" s="2" t="s">
        <v>1829</v>
      </c>
      <c r="Q143" s="2" t="s">
        <v>1830</v>
      </c>
      <c r="R143" s="2" t="s">
        <v>83</v>
      </c>
      <c r="S143" s="2" t="s">
        <v>51</v>
      </c>
      <c r="T143" s="8"/>
      <c r="U143" s="2" t="s">
        <v>52</v>
      </c>
      <c r="V143" s="2" t="s">
        <v>1831</v>
      </c>
    </row>
    <row r="144">
      <c r="A144" s="2" t="s">
        <v>1137</v>
      </c>
      <c r="B144" s="2" t="s">
        <v>1832</v>
      </c>
      <c r="C144" s="2" t="s">
        <v>1833</v>
      </c>
      <c r="D144" s="2" t="s">
        <v>323</v>
      </c>
      <c r="E144" s="7">
        <v>2021.0</v>
      </c>
      <c r="F144" s="8"/>
      <c r="G144" s="8"/>
      <c r="H144" s="8"/>
      <c r="I144" s="8"/>
      <c r="J144" s="8"/>
      <c r="K144" s="8"/>
      <c r="L144" s="7">
        <v>4.0</v>
      </c>
      <c r="M144" s="2" t="s">
        <v>1834</v>
      </c>
      <c r="N144" s="9" t="s">
        <v>1141</v>
      </c>
      <c r="O144" s="2" t="s">
        <v>1167</v>
      </c>
      <c r="P144" s="2" t="s">
        <v>1835</v>
      </c>
      <c r="Q144" s="2" t="s">
        <v>1836</v>
      </c>
      <c r="R144" s="2" t="s">
        <v>83</v>
      </c>
      <c r="S144" s="2" t="s">
        <v>51</v>
      </c>
      <c r="T144" s="8"/>
      <c r="U144" s="2" t="s">
        <v>52</v>
      </c>
      <c r="V144" s="2" t="s">
        <v>1837</v>
      </c>
    </row>
    <row r="145">
      <c r="A145" s="8"/>
      <c r="B145" s="8"/>
      <c r="C145" s="8"/>
      <c r="D145" s="2" t="s">
        <v>325</v>
      </c>
      <c r="E145" s="7">
        <v>2021.0</v>
      </c>
      <c r="F145" s="2" t="s">
        <v>666</v>
      </c>
      <c r="G145" s="7">
        <v>694.0</v>
      </c>
      <c r="H145" s="8"/>
      <c r="I145" s="8"/>
      <c r="J145" s="8"/>
      <c r="K145" s="8"/>
      <c r="L145" s="7">
        <v>0.0</v>
      </c>
      <c r="M145" s="8"/>
      <c r="N145" s="9" t="s">
        <v>935</v>
      </c>
      <c r="O145" s="2" t="s">
        <v>1135</v>
      </c>
      <c r="R145" s="2" t="s">
        <v>104</v>
      </c>
      <c r="S145" s="2" t="s">
        <v>51</v>
      </c>
      <c r="T145" s="8"/>
      <c r="U145" s="2" t="s">
        <v>52</v>
      </c>
      <c r="V145" s="2" t="s">
        <v>1838</v>
      </c>
    </row>
    <row r="146">
      <c r="A146" s="8"/>
      <c r="B146" s="8"/>
      <c r="C146" s="8"/>
      <c r="D146" s="2" t="s">
        <v>326</v>
      </c>
      <c r="E146" s="7">
        <v>2021.0</v>
      </c>
      <c r="F146" s="2" t="s">
        <v>531</v>
      </c>
      <c r="G146" s="7">
        <v>146.0</v>
      </c>
      <c r="H146" s="8"/>
      <c r="I146" s="8"/>
      <c r="J146" s="8"/>
      <c r="K146" s="8"/>
      <c r="L146" s="7">
        <v>0.0</v>
      </c>
      <c r="M146" s="8"/>
      <c r="N146" s="9" t="s">
        <v>959</v>
      </c>
      <c r="O146" s="2" t="s">
        <v>1112</v>
      </c>
      <c r="R146" s="2" t="s">
        <v>104</v>
      </c>
      <c r="S146" s="2" t="s">
        <v>51</v>
      </c>
      <c r="T146" s="8"/>
      <c r="U146" s="2" t="s">
        <v>52</v>
      </c>
      <c r="V146" s="2" t="s">
        <v>1839</v>
      </c>
    </row>
    <row r="147">
      <c r="A147" s="2" t="s">
        <v>318</v>
      </c>
      <c r="B147" s="2" t="s">
        <v>1795</v>
      </c>
      <c r="C147" s="2" t="s">
        <v>1796</v>
      </c>
      <c r="D147" s="2" t="s">
        <v>229</v>
      </c>
      <c r="E147" s="7">
        <v>2021.0</v>
      </c>
      <c r="F147" s="2" t="s">
        <v>1840</v>
      </c>
      <c r="G147" s="7">
        <v>1172.0</v>
      </c>
      <c r="H147" s="8"/>
      <c r="I147" s="8"/>
      <c r="J147" s="7">
        <v>447.0</v>
      </c>
      <c r="K147" s="7">
        <v>459.0</v>
      </c>
      <c r="L147" s="7">
        <v>4.0</v>
      </c>
      <c r="M147" s="2" t="s">
        <v>1841</v>
      </c>
      <c r="N147" s="9" t="s">
        <v>319</v>
      </c>
      <c r="O147" s="2" t="s">
        <v>333</v>
      </c>
      <c r="P147" s="2" t="s">
        <v>1842</v>
      </c>
      <c r="Q147" s="2" t="s">
        <v>1843</v>
      </c>
      <c r="R147" s="2" t="s">
        <v>83</v>
      </c>
      <c r="S147" s="2" t="s">
        <v>51</v>
      </c>
      <c r="T147" s="8"/>
      <c r="U147" s="2" t="s">
        <v>52</v>
      </c>
      <c r="V147" s="2" t="s">
        <v>1844</v>
      </c>
    </row>
    <row r="148">
      <c r="A148" s="2" t="s">
        <v>1016</v>
      </c>
      <c r="B148" s="2" t="s">
        <v>1845</v>
      </c>
      <c r="C148" s="2" t="s">
        <v>1846</v>
      </c>
      <c r="D148" s="2" t="s">
        <v>328</v>
      </c>
      <c r="E148" s="7">
        <v>2020.0</v>
      </c>
      <c r="F148" s="8"/>
      <c r="G148" s="8"/>
      <c r="H148" s="8"/>
      <c r="I148" s="7">
        <v>9313511.0</v>
      </c>
      <c r="J148" s="7">
        <v>663.0</v>
      </c>
      <c r="K148" s="7">
        <v>669.0</v>
      </c>
      <c r="L148" s="7">
        <v>5.0</v>
      </c>
      <c r="M148" s="2" t="s">
        <v>1847</v>
      </c>
      <c r="N148" s="9" t="s">
        <v>1021</v>
      </c>
      <c r="O148" s="2" t="s">
        <v>1028</v>
      </c>
      <c r="P148" s="2" t="s">
        <v>1848</v>
      </c>
      <c r="Q148" s="2" t="s">
        <v>1849</v>
      </c>
      <c r="R148" s="2" t="s">
        <v>83</v>
      </c>
      <c r="S148" s="2" t="s">
        <v>51</v>
      </c>
      <c r="T148" s="8"/>
      <c r="U148" s="2" t="s">
        <v>52</v>
      </c>
      <c r="V148" s="2" t="s">
        <v>1850</v>
      </c>
    </row>
    <row r="149">
      <c r="A149" s="2" t="s">
        <v>258</v>
      </c>
      <c r="B149" s="2" t="s">
        <v>1851</v>
      </c>
      <c r="C149" s="2" t="s">
        <v>1852</v>
      </c>
      <c r="D149" s="2" t="s">
        <v>259</v>
      </c>
      <c r="E149" s="7">
        <v>2020.0</v>
      </c>
      <c r="F149" s="8"/>
      <c r="G149" s="8"/>
      <c r="H149" s="8"/>
      <c r="I149" s="7">
        <v>9286653.0</v>
      </c>
      <c r="J149" s="8"/>
      <c r="K149" s="8"/>
      <c r="L149" s="7">
        <v>11.0</v>
      </c>
      <c r="M149" s="2" t="s">
        <v>1853</v>
      </c>
      <c r="N149" s="9" t="s">
        <v>262</v>
      </c>
      <c r="O149" s="2" t="s">
        <v>288</v>
      </c>
      <c r="P149" s="2" t="s">
        <v>1854</v>
      </c>
      <c r="Q149" s="2" t="s">
        <v>1855</v>
      </c>
      <c r="R149" s="2" t="s">
        <v>83</v>
      </c>
      <c r="S149" s="2" t="s">
        <v>51</v>
      </c>
      <c r="T149" s="8"/>
      <c r="U149" s="2" t="s">
        <v>52</v>
      </c>
      <c r="V149" s="2" t="s">
        <v>1856</v>
      </c>
    </row>
    <row r="150">
      <c r="A150" s="2" t="s">
        <v>1065</v>
      </c>
      <c r="B150" s="2" t="s">
        <v>1857</v>
      </c>
      <c r="C150" s="2" t="s">
        <v>1858</v>
      </c>
      <c r="D150" s="2" t="s">
        <v>336</v>
      </c>
      <c r="E150" s="7">
        <v>2020.0</v>
      </c>
      <c r="F150" s="2" t="s">
        <v>1859</v>
      </c>
      <c r="G150" s="7">
        <v>10.0</v>
      </c>
      <c r="H150" s="7">
        <v>4.0</v>
      </c>
      <c r="I150" s="8"/>
      <c r="J150" s="7">
        <v>257.0</v>
      </c>
      <c r="K150" s="7">
        <v>267.0</v>
      </c>
      <c r="L150" s="7">
        <v>4.0</v>
      </c>
      <c r="M150" s="2" t="s">
        <v>1860</v>
      </c>
      <c r="N150" s="9" t="s">
        <v>1067</v>
      </c>
      <c r="O150" s="2" t="s">
        <v>1078</v>
      </c>
      <c r="P150" s="2" t="s">
        <v>1861</v>
      </c>
      <c r="R150" s="2" t="s">
        <v>926</v>
      </c>
      <c r="S150" s="2" t="s">
        <v>51</v>
      </c>
      <c r="T150" s="8"/>
      <c r="U150" s="2" t="s">
        <v>52</v>
      </c>
      <c r="V150" s="2" t="s">
        <v>1862</v>
      </c>
    </row>
    <row r="151">
      <c r="A151" s="2" t="s">
        <v>290</v>
      </c>
      <c r="B151" s="2" t="s">
        <v>1863</v>
      </c>
      <c r="C151" s="2" t="s">
        <v>1864</v>
      </c>
      <c r="D151" s="2" t="s">
        <v>292</v>
      </c>
      <c r="E151" s="7">
        <v>2020.0</v>
      </c>
      <c r="F151" s="2" t="s">
        <v>1865</v>
      </c>
      <c r="G151" s="7">
        <v>42.0</v>
      </c>
      <c r="H151" s="59">
        <v>45752.0</v>
      </c>
      <c r="I151" s="8"/>
      <c r="J151" s="7">
        <v>191.0</v>
      </c>
      <c r="K151" s="7">
        <v>202.0</v>
      </c>
      <c r="L151" s="7">
        <v>25.0</v>
      </c>
      <c r="M151" s="2" t="s">
        <v>1866</v>
      </c>
      <c r="N151" s="9" t="s">
        <v>293</v>
      </c>
      <c r="O151" s="2" t="s">
        <v>317</v>
      </c>
      <c r="P151" s="2" t="s">
        <v>1869</v>
      </c>
      <c r="Q151" s="2" t="s">
        <v>1870</v>
      </c>
      <c r="R151" s="2" t="s">
        <v>50</v>
      </c>
      <c r="S151" s="2" t="s">
        <v>51</v>
      </c>
      <c r="T151" s="8"/>
      <c r="U151" s="2" t="s">
        <v>52</v>
      </c>
      <c r="V151" s="2" t="s">
        <v>1872</v>
      </c>
    </row>
    <row r="152">
      <c r="A152" s="2" t="s">
        <v>1031</v>
      </c>
      <c r="B152" s="2" t="s">
        <v>1874</v>
      </c>
      <c r="C152" s="2" t="s">
        <v>1875</v>
      </c>
      <c r="D152" s="2" t="s">
        <v>346</v>
      </c>
      <c r="E152" s="7">
        <v>2020.0</v>
      </c>
      <c r="F152" s="2" t="s">
        <v>1876</v>
      </c>
      <c r="G152" s="7">
        <v>11399.0</v>
      </c>
      <c r="H152" s="8"/>
      <c r="I152" s="2" t="s">
        <v>1877</v>
      </c>
      <c r="J152" s="8"/>
      <c r="K152" s="8"/>
      <c r="L152" s="7">
        <v>2.0</v>
      </c>
      <c r="M152" s="2" t="s">
        <v>1879</v>
      </c>
      <c r="N152" s="9" t="s">
        <v>1037</v>
      </c>
      <c r="O152" s="2" t="s">
        <v>1050</v>
      </c>
      <c r="P152" s="2" t="s">
        <v>1880</v>
      </c>
      <c r="Q152" s="2" t="s">
        <v>1881</v>
      </c>
      <c r="R152" s="2" t="s">
        <v>83</v>
      </c>
      <c r="S152" s="2" t="s">
        <v>51</v>
      </c>
      <c r="T152" s="8"/>
      <c r="U152" s="2" t="s">
        <v>52</v>
      </c>
      <c r="V152" s="2" t="s">
        <v>1882</v>
      </c>
    </row>
    <row r="153">
      <c r="A153" s="2" t="s">
        <v>1052</v>
      </c>
      <c r="B153" s="2" t="s">
        <v>1883</v>
      </c>
      <c r="C153" s="2" t="s">
        <v>1884</v>
      </c>
      <c r="D153" s="2" t="s">
        <v>350</v>
      </c>
      <c r="E153" s="7">
        <v>2020.0</v>
      </c>
      <c r="F153" s="2" t="s">
        <v>685</v>
      </c>
      <c r="G153" s="7">
        <v>8.0</v>
      </c>
      <c r="H153" s="8"/>
      <c r="I153" s="7">
        <v>9121984.0</v>
      </c>
      <c r="J153" s="7">
        <v>116176.0</v>
      </c>
      <c r="K153" s="7">
        <v>116194.0</v>
      </c>
      <c r="L153" s="7">
        <v>134.0</v>
      </c>
      <c r="M153" s="2" t="s">
        <v>1885</v>
      </c>
      <c r="N153" s="9" t="s">
        <v>1054</v>
      </c>
      <c r="O153" s="2" t="s">
        <v>1064</v>
      </c>
      <c r="P153" s="2" t="s">
        <v>1886</v>
      </c>
      <c r="Q153" s="2" t="s">
        <v>1887</v>
      </c>
      <c r="R153" s="2" t="s">
        <v>926</v>
      </c>
      <c r="S153" s="2" t="s">
        <v>51</v>
      </c>
      <c r="T153" s="2" t="s">
        <v>141</v>
      </c>
      <c r="U153" s="2" t="s">
        <v>52</v>
      </c>
      <c r="V153" s="2" t="s">
        <v>1888</v>
      </c>
    </row>
    <row r="154">
      <c r="A154" s="2" t="s">
        <v>947</v>
      </c>
      <c r="B154" s="2" t="s">
        <v>1889</v>
      </c>
      <c r="C154" s="2" t="s">
        <v>1890</v>
      </c>
      <c r="D154" s="2" t="s">
        <v>949</v>
      </c>
      <c r="E154" s="7">
        <v>2019.0</v>
      </c>
      <c r="F154" s="2" t="s">
        <v>1891</v>
      </c>
      <c r="G154" s="7">
        <v>120.0</v>
      </c>
      <c r="H154" s="7">
        <v>8.0</v>
      </c>
      <c r="I154" s="8"/>
      <c r="J154" s="7">
        <v>1391.0</v>
      </c>
      <c r="K154" s="7">
        <v>1396.0</v>
      </c>
      <c r="L154" s="7">
        <v>59.0</v>
      </c>
      <c r="M154" s="2" t="s">
        <v>1892</v>
      </c>
      <c r="N154" s="9" t="s">
        <v>950</v>
      </c>
      <c r="O154" s="2" t="s">
        <v>957</v>
      </c>
      <c r="P154" s="2" t="s">
        <v>1893</v>
      </c>
      <c r="Q154" s="2" t="s">
        <v>1894</v>
      </c>
      <c r="R154" s="2" t="s">
        <v>50</v>
      </c>
      <c r="S154" s="2" t="s">
        <v>51</v>
      </c>
      <c r="T154" s="8"/>
      <c r="U154" s="2" t="s">
        <v>52</v>
      </c>
      <c r="V154" s="2" t="s">
        <v>1895</v>
      </c>
    </row>
    <row r="155">
      <c r="A155" s="2" t="s">
        <v>980</v>
      </c>
      <c r="B155" s="2" t="s">
        <v>1896</v>
      </c>
      <c r="C155" s="2" t="s">
        <v>1897</v>
      </c>
      <c r="D155" s="2" t="s">
        <v>355</v>
      </c>
      <c r="E155" s="7">
        <v>2019.0</v>
      </c>
      <c r="F155" s="2" t="s">
        <v>1898</v>
      </c>
      <c r="G155" s="7">
        <v>8.0</v>
      </c>
      <c r="H155" s="2" t="s">
        <v>1899</v>
      </c>
      <c r="J155" s="7">
        <v>1352.0</v>
      </c>
      <c r="K155" s="7">
        <v>1356.0</v>
      </c>
      <c r="L155" s="7">
        <v>2.0</v>
      </c>
      <c r="M155" s="2" t="s">
        <v>1900</v>
      </c>
      <c r="N155" s="9" t="s">
        <v>981</v>
      </c>
      <c r="O155" s="2" t="s">
        <v>996</v>
      </c>
      <c r="P155" s="2" t="s">
        <v>1901</v>
      </c>
      <c r="R155" s="2" t="s">
        <v>50</v>
      </c>
      <c r="S155" s="2" t="s">
        <v>51</v>
      </c>
      <c r="T155" s="2" t="s">
        <v>170</v>
      </c>
      <c r="U155" s="2" t="s">
        <v>52</v>
      </c>
      <c r="V155" s="2" t="s">
        <v>1902</v>
      </c>
    </row>
    <row r="156">
      <c r="A156" s="2" t="s">
        <v>241</v>
      </c>
      <c r="B156" s="2" t="s">
        <v>1903</v>
      </c>
      <c r="C156" s="2" t="s">
        <v>1904</v>
      </c>
      <c r="D156" s="2" t="s">
        <v>242</v>
      </c>
      <c r="E156" s="7">
        <v>2019.0</v>
      </c>
      <c r="F156" s="2" t="s">
        <v>685</v>
      </c>
      <c r="G156" s="7">
        <v>7.0</v>
      </c>
      <c r="H156" s="8"/>
      <c r="I156" s="7">
        <v>8936453.0</v>
      </c>
      <c r="J156" s="7">
        <v>185338.0</v>
      </c>
      <c r="K156" s="7">
        <v>185348.0</v>
      </c>
      <c r="L156" s="7">
        <v>74.0</v>
      </c>
      <c r="M156" s="2" t="s">
        <v>1905</v>
      </c>
      <c r="N156" s="9" t="s">
        <v>243</v>
      </c>
      <c r="O156" s="2" t="s">
        <v>257</v>
      </c>
      <c r="P156" s="2" t="s">
        <v>1908</v>
      </c>
      <c r="Q156" s="2" t="s">
        <v>1909</v>
      </c>
      <c r="R156" s="2" t="s">
        <v>50</v>
      </c>
      <c r="S156" s="2" t="s">
        <v>51</v>
      </c>
      <c r="T156" s="2" t="s">
        <v>141</v>
      </c>
      <c r="U156" s="2" t="s">
        <v>52</v>
      </c>
      <c r="V156" s="2" t="s">
        <v>1910</v>
      </c>
    </row>
    <row r="157">
      <c r="A157" s="2" t="s">
        <v>209</v>
      </c>
      <c r="B157" s="2" t="s">
        <v>1911</v>
      </c>
      <c r="C157" s="2" t="s">
        <v>1912</v>
      </c>
      <c r="D157" s="2" t="s">
        <v>210</v>
      </c>
      <c r="E157" s="7">
        <v>2019.0</v>
      </c>
      <c r="F157" s="2" t="s">
        <v>76</v>
      </c>
      <c r="G157" s="2" t="s">
        <v>1913</v>
      </c>
      <c r="H157" s="8"/>
      <c r="I157" s="8"/>
      <c r="J157" s="7">
        <v>707.0</v>
      </c>
      <c r="K157" s="7">
        <v>715.0</v>
      </c>
      <c r="L157" s="7">
        <v>10.0</v>
      </c>
      <c r="M157" s="2" t="s">
        <v>1914</v>
      </c>
      <c r="N157" s="9" t="s">
        <v>212</v>
      </c>
      <c r="O157" s="2" t="s">
        <v>240</v>
      </c>
      <c r="P157" s="2" t="s">
        <v>1915</v>
      </c>
      <c r="Q157" s="2" t="s">
        <v>1916</v>
      </c>
      <c r="R157" s="2" t="s">
        <v>83</v>
      </c>
      <c r="S157" s="2" t="s">
        <v>51</v>
      </c>
      <c r="T157" s="8"/>
      <c r="U157" s="2" t="s">
        <v>52</v>
      </c>
      <c r="V157" s="2" t="s">
        <v>1917</v>
      </c>
    </row>
    <row r="158">
      <c r="A158" s="8"/>
      <c r="B158" s="8"/>
      <c r="C158" s="8"/>
      <c r="D158" s="2" t="s">
        <v>358</v>
      </c>
      <c r="E158" s="7">
        <v>2019.0</v>
      </c>
      <c r="F158" s="2" t="s">
        <v>666</v>
      </c>
      <c r="G158" s="7">
        <v>536.0</v>
      </c>
      <c r="H158" s="8"/>
      <c r="I158" s="8"/>
      <c r="J158" s="8"/>
      <c r="K158" s="8"/>
      <c r="L158" s="7">
        <v>0.0</v>
      </c>
      <c r="M158" s="8"/>
      <c r="N158" s="9" t="s">
        <v>582</v>
      </c>
      <c r="O158" s="2" t="s">
        <v>1014</v>
      </c>
      <c r="R158" s="2" t="s">
        <v>104</v>
      </c>
      <c r="S158" s="2" t="s">
        <v>51</v>
      </c>
      <c r="T158" s="8"/>
      <c r="U158" s="2" t="s">
        <v>52</v>
      </c>
      <c r="V158" s="2" t="s">
        <v>1918</v>
      </c>
    </row>
    <row r="159">
      <c r="A159" s="2" t="s">
        <v>960</v>
      </c>
      <c r="B159" s="2" t="s">
        <v>1919</v>
      </c>
      <c r="C159" s="2" t="s">
        <v>1920</v>
      </c>
      <c r="D159" s="2" t="s">
        <v>961</v>
      </c>
      <c r="E159" s="7">
        <v>2019.0</v>
      </c>
      <c r="F159" s="2" t="s">
        <v>1921</v>
      </c>
      <c r="G159" s="7">
        <v>10.0</v>
      </c>
      <c r="H159" s="7">
        <v>2.0</v>
      </c>
      <c r="I159" s="8"/>
      <c r="J159" s="7">
        <v>399.0</v>
      </c>
      <c r="K159" s="7">
        <v>410.0</v>
      </c>
      <c r="L159" s="7">
        <v>21.0</v>
      </c>
      <c r="M159" s="2" t="s">
        <v>1922</v>
      </c>
      <c r="N159" s="9" t="s">
        <v>963</v>
      </c>
      <c r="O159" s="2" t="s">
        <v>979</v>
      </c>
      <c r="Q159" s="2" t="s">
        <v>1923</v>
      </c>
      <c r="R159" s="2" t="s">
        <v>50</v>
      </c>
      <c r="S159" s="2" t="s">
        <v>51</v>
      </c>
      <c r="T159" s="2" t="s">
        <v>1210</v>
      </c>
      <c r="U159" s="2" t="s">
        <v>52</v>
      </c>
      <c r="V159" s="2" t="s">
        <v>1924</v>
      </c>
    </row>
    <row r="160">
      <c r="A160" s="2" t="s">
        <v>166</v>
      </c>
      <c r="B160" s="2" t="s">
        <v>1925</v>
      </c>
      <c r="C160" s="2" t="s">
        <v>1926</v>
      </c>
      <c r="D160" s="2" t="s">
        <v>175</v>
      </c>
      <c r="E160" s="7">
        <v>2018.0</v>
      </c>
      <c r="F160" s="8"/>
      <c r="G160" s="58">
        <v>43101.0</v>
      </c>
      <c r="H160" s="8"/>
      <c r="I160" s="8"/>
      <c r="J160" s="7">
        <v>69.0</v>
      </c>
      <c r="K160" s="7">
        <v>77.0</v>
      </c>
      <c r="L160" s="7">
        <v>22.0</v>
      </c>
      <c r="M160" s="2" t="s">
        <v>1927</v>
      </c>
      <c r="N160" s="9" t="s">
        <v>180</v>
      </c>
      <c r="O160" s="2" t="s">
        <v>208</v>
      </c>
      <c r="P160" s="2" t="s">
        <v>1928</v>
      </c>
      <c r="Q160" s="2" t="s">
        <v>1929</v>
      </c>
      <c r="R160" s="2" t="s">
        <v>83</v>
      </c>
      <c r="S160" s="2" t="s">
        <v>51</v>
      </c>
      <c r="T160" s="2" t="s">
        <v>170</v>
      </c>
      <c r="U160" s="2" t="s">
        <v>52</v>
      </c>
      <c r="V160" s="2" t="s">
        <v>1930</v>
      </c>
    </row>
    <row r="161">
      <c r="A161" s="2" t="s">
        <v>921</v>
      </c>
      <c r="B161" s="2" t="s">
        <v>1931</v>
      </c>
      <c r="C161" s="2" t="s">
        <v>1932</v>
      </c>
      <c r="D161" s="2" t="s">
        <v>361</v>
      </c>
      <c r="E161" s="7">
        <v>2017.0</v>
      </c>
      <c r="F161" s="2" t="s">
        <v>1933</v>
      </c>
      <c r="G161" s="7">
        <v>43.0</v>
      </c>
      <c r="H161" s="8"/>
      <c r="I161" s="8"/>
      <c r="J161" s="7">
        <v>112.0</v>
      </c>
      <c r="K161" s="7">
        <v>117.0</v>
      </c>
      <c r="L161" s="7">
        <v>4.0</v>
      </c>
      <c r="M161" s="2" t="s">
        <v>1934</v>
      </c>
      <c r="N161" s="9" t="s">
        <v>922</v>
      </c>
      <c r="O161" s="2" t="s">
        <v>945</v>
      </c>
      <c r="P161" s="2" t="s">
        <v>1935</v>
      </c>
      <c r="Q161" s="2" t="s">
        <v>1936</v>
      </c>
      <c r="R161" s="2" t="s">
        <v>50</v>
      </c>
      <c r="S161" s="2" t="s">
        <v>51</v>
      </c>
      <c r="T161" s="2" t="s">
        <v>1191</v>
      </c>
      <c r="U161" s="2" t="s">
        <v>52</v>
      </c>
      <c r="V161" s="2" t="s">
        <v>1937</v>
      </c>
    </row>
    <row r="162">
      <c r="A162" s="8"/>
      <c r="B162" s="8"/>
      <c r="C162" s="8"/>
      <c r="D162" s="2" t="s">
        <v>17</v>
      </c>
      <c r="E162" s="7">
        <v>2015.0</v>
      </c>
      <c r="F162" s="8"/>
      <c r="G162" s="8"/>
      <c r="H162" s="8"/>
      <c r="I162" s="8"/>
      <c r="J162" s="8"/>
      <c r="K162" s="8"/>
      <c r="L162" s="7">
        <v>0.0</v>
      </c>
      <c r="M162" s="8"/>
      <c r="N162" s="9" t="s">
        <v>21</v>
      </c>
      <c r="O162" s="2" t="s">
        <v>920</v>
      </c>
      <c r="R162" s="2" t="s">
        <v>104</v>
      </c>
      <c r="S162" s="2" t="s">
        <v>51</v>
      </c>
      <c r="T162" s="8"/>
      <c r="U162" s="2" t="s">
        <v>52</v>
      </c>
      <c r="V162" s="2" t="s">
        <v>1938</v>
      </c>
    </row>
    <row r="163">
      <c r="A163" s="8"/>
      <c r="B163" s="8"/>
      <c r="C163" s="8"/>
      <c r="D163" s="2" t="s">
        <v>365</v>
      </c>
      <c r="E163" s="7">
        <v>2013.0</v>
      </c>
      <c r="F163" s="2" t="s">
        <v>1939</v>
      </c>
      <c r="G163" s="7">
        <v>748.0</v>
      </c>
      <c r="H163" s="8"/>
      <c r="I163" s="8"/>
      <c r="J163" s="8"/>
      <c r="K163" s="8"/>
      <c r="L163" s="7">
        <v>0.0</v>
      </c>
      <c r="M163" s="8"/>
      <c r="N163" s="9" t="s">
        <v>885</v>
      </c>
      <c r="O163" s="2" t="s">
        <v>908</v>
      </c>
      <c r="R163" s="2" t="s">
        <v>104</v>
      </c>
      <c r="S163" s="2" t="s">
        <v>51</v>
      </c>
      <c r="T163" s="8"/>
      <c r="U163" s="2" t="s">
        <v>52</v>
      </c>
      <c r="V163" s="2" t="s">
        <v>1940</v>
      </c>
    </row>
  </sheetData>
  <mergeCells count="76">
    <mergeCell ref="P85:Q85"/>
    <mergeCell ref="O88:Q88"/>
    <mergeCell ref="O90:Q90"/>
    <mergeCell ref="O96:Q96"/>
    <mergeCell ref="O97:Q97"/>
    <mergeCell ref="O98:Q98"/>
    <mergeCell ref="O99:Q99"/>
    <mergeCell ref="O100:Q100"/>
    <mergeCell ref="O101:Q101"/>
    <mergeCell ref="P107:Q107"/>
    <mergeCell ref="O110:P110"/>
    <mergeCell ref="P112:Q112"/>
    <mergeCell ref="O114:Q114"/>
    <mergeCell ref="P116:Q116"/>
    <mergeCell ref="P132:Q132"/>
    <mergeCell ref="O134:Q134"/>
    <mergeCell ref="O135:Q135"/>
    <mergeCell ref="P136:Q136"/>
    <mergeCell ref="O137:P137"/>
    <mergeCell ref="O139:Q139"/>
    <mergeCell ref="O140:P140"/>
    <mergeCell ref="O158:Q158"/>
    <mergeCell ref="O159:P159"/>
    <mergeCell ref="O162:Q162"/>
    <mergeCell ref="O163:Q163"/>
    <mergeCell ref="O141:Q141"/>
    <mergeCell ref="O142:P142"/>
    <mergeCell ref="O145:Q145"/>
    <mergeCell ref="O146:Q146"/>
    <mergeCell ref="P150:Q150"/>
    <mergeCell ref="H155:I155"/>
    <mergeCell ref="P155:Q155"/>
    <mergeCell ref="O6:Q6"/>
    <mergeCell ref="O7:Q7"/>
    <mergeCell ref="O8:Q8"/>
    <mergeCell ref="P14:Q14"/>
    <mergeCell ref="P18:Q18"/>
    <mergeCell ref="P21:Q21"/>
    <mergeCell ref="O22:P22"/>
    <mergeCell ref="P39:Q39"/>
    <mergeCell ref="P40:Q40"/>
    <mergeCell ref="O42:P42"/>
    <mergeCell ref="O43:Q43"/>
    <mergeCell ref="F45:H45"/>
    <mergeCell ref="P45:Q45"/>
    <mergeCell ref="O46:Q46"/>
    <mergeCell ref="F56:G56"/>
    <mergeCell ref="F63:J63"/>
    <mergeCell ref="F51:H51"/>
    <mergeCell ref="F52:K52"/>
    <mergeCell ref="P52:Q52"/>
    <mergeCell ref="F53:H53"/>
    <mergeCell ref="F54:H54"/>
    <mergeCell ref="P54:Q54"/>
    <mergeCell ref="P57:Q57"/>
    <mergeCell ref="P24:Q24"/>
    <mergeCell ref="P25:Q25"/>
    <mergeCell ref="O31:Q31"/>
    <mergeCell ref="O32:Q32"/>
    <mergeCell ref="O35:Q35"/>
    <mergeCell ref="O36:Q36"/>
    <mergeCell ref="P38:Q38"/>
    <mergeCell ref="P66:Q66"/>
    <mergeCell ref="O67:Q67"/>
    <mergeCell ref="O68:Q68"/>
    <mergeCell ref="O70:Q70"/>
    <mergeCell ref="P73:Q73"/>
    <mergeCell ref="P78:Q78"/>
    <mergeCell ref="P79:Q79"/>
    <mergeCell ref="O118:Q118"/>
    <mergeCell ref="O123:Q123"/>
    <mergeCell ref="O124:Q124"/>
    <mergeCell ref="P125:Q125"/>
    <mergeCell ref="O126:Q126"/>
    <mergeCell ref="P128:Q128"/>
    <mergeCell ref="G134:H134"/>
  </mergeCells>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 r:id="rId132" ref="N133"/>
    <hyperlink r:id="rId133" ref="N134"/>
    <hyperlink r:id="rId134" ref="N135"/>
    <hyperlink r:id="rId135" ref="N136"/>
    <hyperlink r:id="rId136" ref="N137"/>
    <hyperlink r:id="rId137" ref="N138"/>
    <hyperlink r:id="rId138" ref="N139"/>
    <hyperlink r:id="rId139" ref="N140"/>
    <hyperlink r:id="rId140" ref="N141"/>
    <hyperlink r:id="rId141" ref="N142"/>
    <hyperlink r:id="rId142" ref="N143"/>
    <hyperlink r:id="rId143" ref="N144"/>
    <hyperlink r:id="rId144" ref="N145"/>
    <hyperlink r:id="rId145" ref="N146"/>
    <hyperlink r:id="rId146" ref="N147"/>
    <hyperlink r:id="rId147" ref="N148"/>
    <hyperlink r:id="rId148" ref="N149"/>
    <hyperlink r:id="rId149" ref="N150"/>
    <hyperlink r:id="rId150" ref="N151"/>
    <hyperlink r:id="rId151" ref="N152"/>
    <hyperlink r:id="rId152" ref="N153"/>
    <hyperlink r:id="rId153" ref="N154"/>
    <hyperlink r:id="rId154" ref="N155"/>
    <hyperlink r:id="rId155" ref="N156"/>
    <hyperlink r:id="rId156" ref="N157"/>
    <hyperlink r:id="rId157" ref="N158"/>
    <hyperlink r:id="rId158" ref="N159"/>
    <hyperlink r:id="rId159" ref="N160"/>
    <hyperlink r:id="rId160" ref="N161"/>
    <hyperlink r:id="rId161" ref="N162"/>
    <hyperlink r:id="rId162" ref="N163"/>
  </hyperlinks>
  <drawing r:id="rId16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67.88"/>
    <col customWidth="1" min="3" max="3" width="8.13"/>
    <col customWidth="1" min="4" max="4" width="5.88"/>
    <col customWidth="1" min="6" max="6" width="5.63"/>
    <col customWidth="1" min="7" max="7" width="5.38"/>
    <col customWidth="1" min="8" max="8" width="14.75"/>
  </cols>
  <sheetData>
    <row r="1">
      <c r="A1" s="3" t="s">
        <v>1</v>
      </c>
      <c r="B1" s="3" t="s">
        <v>6</v>
      </c>
      <c r="C1" s="3" t="s">
        <v>7</v>
      </c>
      <c r="D1" s="3" t="s">
        <v>10</v>
      </c>
      <c r="E1" s="3" t="s">
        <v>12</v>
      </c>
      <c r="H1" s="1" t="s">
        <v>15</v>
      </c>
    </row>
    <row r="2">
      <c r="A2" s="4"/>
      <c r="B2" s="3" t="s">
        <v>17</v>
      </c>
      <c r="C2" s="5">
        <v>2015.0</v>
      </c>
      <c r="D2" s="5">
        <v>0.0</v>
      </c>
      <c r="E2" s="10" t="s">
        <v>21</v>
      </c>
      <c r="F2" s="1" t="s">
        <v>29</v>
      </c>
      <c r="G2" s="6">
        <f>COUNTIF(papers!$B$2:$B$28,B2)</f>
        <v>1</v>
      </c>
    </row>
    <row r="3">
      <c r="A3" s="3" t="s">
        <v>65</v>
      </c>
      <c r="B3" s="11" t="s">
        <v>66</v>
      </c>
      <c r="C3" s="5">
        <v>2024.0</v>
      </c>
      <c r="D3" s="5">
        <v>0.0</v>
      </c>
      <c r="E3" s="10" t="s">
        <v>70</v>
      </c>
      <c r="F3" s="1" t="s">
        <v>43</v>
      </c>
      <c r="G3" s="6">
        <f>COUNTIF(papers!$B$2:$B$28,B3)</f>
        <v>0</v>
      </c>
    </row>
    <row r="4">
      <c r="A4" s="3" t="s">
        <v>92</v>
      </c>
      <c r="B4" s="12" t="s">
        <v>93</v>
      </c>
      <c r="C4" s="5">
        <v>2023.0</v>
      </c>
      <c r="D4" s="5">
        <v>1.0</v>
      </c>
      <c r="E4" s="10" t="s">
        <v>94</v>
      </c>
      <c r="F4" s="1" t="s">
        <v>43</v>
      </c>
      <c r="G4" s="6">
        <f>COUNTIF(papers!$B$2:$B$28,B4)</f>
        <v>0</v>
      </c>
    </row>
    <row r="5">
      <c r="A5" s="3" t="s">
        <v>107</v>
      </c>
      <c r="B5" s="12" t="s">
        <v>108</v>
      </c>
      <c r="C5" s="5">
        <v>2022.0</v>
      </c>
      <c r="D5" s="5">
        <v>6.0</v>
      </c>
      <c r="E5" s="10" t="s">
        <v>109</v>
      </c>
      <c r="F5" s="1" t="s">
        <v>43</v>
      </c>
      <c r="G5" s="6">
        <f>COUNTIF(papers!$B$2:$B$28,B5)</f>
        <v>1</v>
      </c>
    </row>
    <row r="6">
      <c r="A6" s="3" t="s">
        <v>124</v>
      </c>
      <c r="B6" s="13" t="s">
        <v>125</v>
      </c>
      <c r="C6" s="5">
        <v>2024.0</v>
      </c>
      <c r="D6" s="5">
        <v>1.0</v>
      </c>
      <c r="E6" s="10" t="s">
        <v>126</v>
      </c>
      <c r="F6" s="1" t="s">
        <v>43</v>
      </c>
      <c r="G6" s="6">
        <f>COUNTIF(papers!$B$2:$B$28,B6)</f>
        <v>0</v>
      </c>
      <c r="H6" s="1" t="s">
        <v>150</v>
      </c>
    </row>
    <row r="7">
      <c r="A7" s="4"/>
      <c r="B7" s="3" t="s">
        <v>151</v>
      </c>
      <c r="C7" s="5">
        <v>2023.0</v>
      </c>
      <c r="D7" s="5">
        <v>0.0</v>
      </c>
      <c r="E7" s="10" t="s">
        <v>152</v>
      </c>
      <c r="F7" s="1" t="s">
        <v>29</v>
      </c>
      <c r="G7" s="6">
        <f>COUNTIF(papers!$B$2:$B$28,B7)</f>
        <v>0</v>
      </c>
    </row>
    <row r="8">
      <c r="A8" s="4"/>
      <c r="B8" s="16" t="s">
        <v>181</v>
      </c>
      <c r="C8" s="5">
        <v>2023.0</v>
      </c>
      <c r="D8" s="5">
        <v>0.0</v>
      </c>
      <c r="E8" s="10" t="s">
        <v>182</v>
      </c>
      <c r="F8" s="1" t="s">
        <v>29</v>
      </c>
      <c r="G8" s="6">
        <f>COUNTIF(papers!$B$2:$B$28,B8)</f>
        <v>0</v>
      </c>
    </row>
    <row r="9">
      <c r="A9" s="3" t="s">
        <v>194</v>
      </c>
      <c r="B9" s="13" t="s">
        <v>195</v>
      </c>
      <c r="C9" s="5">
        <v>2022.0</v>
      </c>
      <c r="D9" s="5">
        <v>15.0</v>
      </c>
      <c r="E9" s="10" t="s">
        <v>196</v>
      </c>
      <c r="F9" s="1" t="s">
        <v>43</v>
      </c>
      <c r="G9" s="6">
        <f>COUNTIF(papers!$B$2:$B$28,B9)</f>
        <v>0</v>
      </c>
      <c r="H9" s="1" t="s">
        <v>150</v>
      </c>
    </row>
    <row r="10">
      <c r="A10" s="3" t="s">
        <v>211</v>
      </c>
      <c r="B10" s="13"/>
      <c r="C10" s="5">
        <v>2023.0</v>
      </c>
      <c r="D10" s="5">
        <v>0.0</v>
      </c>
      <c r="E10" s="10" t="s">
        <v>213</v>
      </c>
      <c r="F10" s="1" t="s">
        <v>43</v>
      </c>
      <c r="G10" s="6">
        <f>COUNTIF(papers!$B$2:$B$28,B10)</f>
        <v>0</v>
      </c>
      <c r="H10" s="1" t="s">
        <v>225</v>
      </c>
    </row>
    <row r="11">
      <c r="A11" s="3" t="s">
        <v>227</v>
      </c>
      <c r="B11" s="13" t="s">
        <v>229</v>
      </c>
      <c r="C11" s="5">
        <v>2021.0</v>
      </c>
      <c r="D11" s="5">
        <v>4.0</v>
      </c>
      <c r="E11" s="10" t="s">
        <v>231</v>
      </c>
      <c r="F11" s="1" t="s">
        <v>43</v>
      </c>
      <c r="G11" s="6">
        <f>COUNTIF(papers!$B$2:$B$28,B11)</f>
        <v>1</v>
      </c>
      <c r="H11" s="1" t="s">
        <v>254</v>
      </c>
    </row>
    <row r="12">
      <c r="A12" s="4"/>
      <c r="B12" s="3" t="s">
        <v>255</v>
      </c>
      <c r="C12" s="5">
        <v>2022.0</v>
      </c>
      <c r="D12" s="5">
        <v>0.0</v>
      </c>
      <c r="E12" s="10" t="s">
        <v>256</v>
      </c>
      <c r="F12" s="1" t="s">
        <v>29</v>
      </c>
      <c r="G12" s="6">
        <f>COUNTIF(papers!$B$2:$B$28,B12)</f>
        <v>1</v>
      </c>
    </row>
    <row r="13">
      <c r="A13" s="3" t="s">
        <v>272</v>
      </c>
      <c r="B13" s="13" t="s">
        <v>273</v>
      </c>
      <c r="C13" s="5">
        <v>2023.0</v>
      </c>
      <c r="D13" s="5">
        <v>7.0</v>
      </c>
      <c r="E13" s="10" t="s">
        <v>274</v>
      </c>
      <c r="F13" s="1" t="s">
        <v>43</v>
      </c>
      <c r="G13" s="6">
        <f>COUNTIF(papers!$B$2:$B$28,B13)</f>
        <v>0</v>
      </c>
      <c r="H13" s="1" t="s">
        <v>299</v>
      </c>
    </row>
    <row r="14">
      <c r="A14" s="4"/>
      <c r="B14" s="3" t="s">
        <v>301</v>
      </c>
      <c r="C14" s="5">
        <v>2023.0</v>
      </c>
      <c r="D14" s="5">
        <v>0.0</v>
      </c>
      <c r="E14" s="10" t="s">
        <v>306</v>
      </c>
      <c r="F14" s="1" t="s">
        <v>29</v>
      </c>
      <c r="G14" s="6">
        <f>COUNTIF(papers!$B$2:$B$28,B14)</f>
        <v>0</v>
      </c>
    </row>
    <row r="15">
      <c r="A15" s="3" t="s">
        <v>347</v>
      </c>
      <c r="B15" s="3" t="s">
        <v>349</v>
      </c>
      <c r="C15" s="5">
        <v>2023.0</v>
      </c>
      <c r="D15" s="5">
        <v>1.0</v>
      </c>
      <c r="E15" s="10" t="s">
        <v>352</v>
      </c>
      <c r="F15" s="1" t="s">
        <v>43</v>
      </c>
      <c r="G15" s="6">
        <f>COUNTIF(papers!$B$2:$B$28,B15)</f>
        <v>0</v>
      </c>
    </row>
    <row r="16">
      <c r="A16" s="3" t="s">
        <v>374</v>
      </c>
      <c r="B16" s="13" t="s">
        <v>375</v>
      </c>
      <c r="C16" s="5">
        <v>2024.0</v>
      </c>
      <c r="D16" s="5">
        <v>0.0</v>
      </c>
      <c r="E16" s="10" t="s">
        <v>377</v>
      </c>
      <c r="F16" s="1" t="s">
        <v>43</v>
      </c>
      <c r="G16" s="6">
        <f>COUNTIF(papers!$B$2:$B$28,B16)</f>
        <v>0</v>
      </c>
      <c r="H16" s="1" t="s">
        <v>150</v>
      </c>
    </row>
    <row r="17">
      <c r="A17" s="4"/>
      <c r="B17" s="3" t="s">
        <v>297</v>
      </c>
      <c r="C17" s="5">
        <v>2022.0</v>
      </c>
      <c r="D17" s="5">
        <v>0.0</v>
      </c>
      <c r="E17" s="10" t="s">
        <v>382</v>
      </c>
      <c r="F17" s="1" t="s">
        <v>29</v>
      </c>
      <c r="G17" s="6">
        <f>COUNTIF(papers!$B$2:$B$28,B17)</f>
        <v>1</v>
      </c>
    </row>
    <row r="18">
      <c r="A18" s="3" t="s">
        <v>391</v>
      </c>
      <c r="B18" s="11" t="s">
        <v>175</v>
      </c>
      <c r="C18" s="5">
        <v>2018.0</v>
      </c>
      <c r="D18" s="5">
        <v>18.0</v>
      </c>
      <c r="E18" s="10" t="s">
        <v>392</v>
      </c>
      <c r="F18" s="1" t="s">
        <v>43</v>
      </c>
      <c r="G18" s="6">
        <f>COUNTIF(papers!$B$2:$B$28,B18)</f>
        <v>1</v>
      </c>
      <c r="H18" s="1" t="s">
        <v>403</v>
      </c>
    </row>
    <row r="19">
      <c r="A19" s="4"/>
      <c r="B19" s="3" t="s">
        <v>303</v>
      </c>
      <c r="C19" s="5">
        <v>2022.0</v>
      </c>
      <c r="D19" s="5">
        <v>0.0</v>
      </c>
      <c r="E19" s="10" t="s">
        <v>404</v>
      </c>
      <c r="F19" s="1" t="s">
        <v>29</v>
      </c>
      <c r="G19" s="6">
        <f>COUNTIF(papers!$B$2:$B$28,B19)</f>
        <v>1</v>
      </c>
    </row>
    <row r="20">
      <c r="A20" s="3" t="s">
        <v>415</v>
      </c>
      <c r="B20" s="11" t="s">
        <v>416</v>
      </c>
      <c r="C20" s="5">
        <v>2023.0</v>
      </c>
      <c r="D20" s="5">
        <v>0.0</v>
      </c>
      <c r="E20" s="10" t="s">
        <v>417</v>
      </c>
      <c r="F20" s="1" t="s">
        <v>43</v>
      </c>
      <c r="G20" s="6">
        <f>COUNTIF(papers!$B$2:$B$28,B20)</f>
        <v>0</v>
      </c>
    </row>
    <row r="21">
      <c r="A21" s="3" t="s">
        <v>430</v>
      </c>
      <c r="B21" s="13" t="s">
        <v>431</v>
      </c>
      <c r="C21" s="5">
        <v>2023.0</v>
      </c>
      <c r="D21" s="5">
        <v>0.0</v>
      </c>
      <c r="E21" s="10" t="s">
        <v>432</v>
      </c>
      <c r="F21" s="1" t="s">
        <v>43</v>
      </c>
      <c r="G21" s="6">
        <f>COUNTIF(papers!$B$2:$B$28,B21)</f>
        <v>0</v>
      </c>
      <c r="H21" s="1" t="s">
        <v>451</v>
      </c>
    </row>
    <row r="22">
      <c r="A22" s="3" t="s">
        <v>453</v>
      </c>
      <c r="B22" s="13" t="s">
        <v>455</v>
      </c>
      <c r="C22" s="5">
        <v>2023.0</v>
      </c>
      <c r="D22" s="5">
        <v>4.0</v>
      </c>
      <c r="E22" s="10" t="s">
        <v>457</v>
      </c>
      <c r="F22" s="1" t="s">
        <v>43</v>
      </c>
      <c r="G22" s="6">
        <f>COUNTIF(papers!$B$2:$B$28,B22)</f>
        <v>0</v>
      </c>
      <c r="H22" s="1" t="s">
        <v>470</v>
      </c>
    </row>
    <row r="23">
      <c r="A23" s="3" t="s">
        <v>471</v>
      </c>
      <c r="B23" s="13" t="s">
        <v>242</v>
      </c>
      <c r="C23" s="5">
        <v>2019.0</v>
      </c>
      <c r="D23" s="5">
        <v>51.0</v>
      </c>
      <c r="E23" s="10" t="s">
        <v>472</v>
      </c>
      <c r="F23" s="1" t="s">
        <v>43</v>
      </c>
      <c r="G23" s="6">
        <f>COUNTIF(papers!$B$2:$B$28,B23)</f>
        <v>1</v>
      </c>
      <c r="H23" s="1" t="s">
        <v>470</v>
      </c>
    </row>
    <row r="24">
      <c r="A24" s="3" t="s">
        <v>483</v>
      </c>
      <c r="B24" s="13" t="s">
        <v>292</v>
      </c>
      <c r="C24" s="5">
        <v>2020.0</v>
      </c>
      <c r="D24" s="5">
        <v>16.0</v>
      </c>
      <c r="E24" s="10" t="s">
        <v>485</v>
      </c>
      <c r="F24" s="1" t="s">
        <v>43</v>
      </c>
      <c r="G24" s="6">
        <f>COUNTIF(papers!$B$2:$B$28,B24)</f>
        <v>0</v>
      </c>
      <c r="H24" s="1" t="s">
        <v>470</v>
      </c>
    </row>
    <row r="25">
      <c r="A25" s="3" t="s">
        <v>496</v>
      </c>
      <c r="B25" s="13" t="s">
        <v>498</v>
      </c>
      <c r="C25" s="5">
        <v>2023.0</v>
      </c>
      <c r="D25" s="5">
        <v>0.0</v>
      </c>
      <c r="E25" s="10" t="s">
        <v>501</v>
      </c>
      <c r="F25" s="1" t="s">
        <v>43</v>
      </c>
      <c r="G25" s="6">
        <f>COUNTIF(papers!$B$2:$B$28,B25)</f>
        <v>0</v>
      </c>
      <c r="H25" s="1" t="s">
        <v>225</v>
      </c>
    </row>
    <row r="26">
      <c r="A26" s="3" t="s">
        <v>515</v>
      </c>
      <c r="B26" s="13" t="s">
        <v>516</v>
      </c>
      <c r="C26" s="5">
        <v>2024.0</v>
      </c>
      <c r="D26" s="5">
        <v>0.0</v>
      </c>
      <c r="E26" s="10" t="s">
        <v>517</v>
      </c>
      <c r="F26" s="1" t="s">
        <v>43</v>
      </c>
      <c r="G26" s="6">
        <f>COUNTIF(papers!$B$2:$B$28,B26)</f>
        <v>0</v>
      </c>
      <c r="H26" s="1" t="s">
        <v>470</v>
      </c>
    </row>
    <row r="27">
      <c r="A27" s="3" t="s">
        <v>533</v>
      </c>
      <c r="B27" s="13" t="s">
        <v>526</v>
      </c>
      <c r="C27" s="5">
        <v>2023.0</v>
      </c>
      <c r="D27" s="5">
        <v>7.0</v>
      </c>
      <c r="E27" s="10" t="s">
        <v>535</v>
      </c>
      <c r="F27" s="1" t="s">
        <v>43</v>
      </c>
      <c r="G27" s="6">
        <f>COUNTIF(papers!$B$2:$B$28,B27)</f>
        <v>0</v>
      </c>
      <c r="H27" s="1" t="s">
        <v>549</v>
      </c>
    </row>
    <row r="28">
      <c r="A28" s="3" t="s">
        <v>550</v>
      </c>
      <c r="B28" s="31" t="s">
        <v>337</v>
      </c>
      <c r="C28" s="5">
        <v>2021.0</v>
      </c>
      <c r="D28" s="5">
        <v>5.0</v>
      </c>
      <c r="E28" s="10" t="s">
        <v>552</v>
      </c>
      <c r="F28" s="1" t="s">
        <v>43</v>
      </c>
      <c r="G28" s="6">
        <f>COUNTIF(papers!$B$2:$B$28,B28)</f>
        <v>0</v>
      </c>
      <c r="H28" s="1" t="s">
        <v>470</v>
      </c>
    </row>
    <row r="29">
      <c r="A29" s="3" t="s">
        <v>566</v>
      </c>
      <c r="B29" s="13" t="s">
        <v>259</v>
      </c>
      <c r="C29" s="5">
        <v>2020.0</v>
      </c>
      <c r="D29" s="5">
        <v>6.0</v>
      </c>
      <c r="E29" s="10" t="s">
        <v>568</v>
      </c>
      <c r="F29" s="1" t="s">
        <v>43</v>
      </c>
      <c r="G29" s="6">
        <f>COUNTIF(papers!$B$2:$B$28,B29)</f>
        <v>1</v>
      </c>
      <c r="H29" s="1" t="s">
        <v>578</v>
      </c>
    </row>
    <row r="30">
      <c r="A30" s="4"/>
      <c r="B30" s="3" t="s">
        <v>358</v>
      </c>
      <c r="C30" s="5">
        <v>2019.0</v>
      </c>
      <c r="D30" s="5">
        <v>0.0</v>
      </c>
      <c r="E30" s="10" t="s">
        <v>582</v>
      </c>
      <c r="F30" s="1" t="s">
        <v>29</v>
      </c>
      <c r="G30" s="6">
        <f>COUNTIF(papers!$B$2:$B$28,B30)</f>
        <v>1</v>
      </c>
    </row>
    <row r="31">
      <c r="A31" s="3" t="s">
        <v>603</v>
      </c>
      <c r="B31" s="3" t="s">
        <v>346</v>
      </c>
      <c r="C31" s="5">
        <v>2020.0</v>
      </c>
      <c r="D31" s="5">
        <v>1.0</v>
      </c>
      <c r="E31" s="10" t="s">
        <v>604</v>
      </c>
      <c r="F31" s="1" t="s">
        <v>43</v>
      </c>
      <c r="G31" s="6">
        <f>COUNTIF(papers!$B$2:$B$28,B31)</f>
        <v>1</v>
      </c>
      <c r="H31" s="1" t="s">
        <v>617</v>
      </c>
    </row>
    <row r="32">
      <c r="A32" s="4"/>
      <c r="B32" s="3" t="s">
        <v>619</v>
      </c>
      <c r="C32" s="5">
        <v>2023.0</v>
      </c>
      <c r="D32" s="5">
        <v>0.0</v>
      </c>
      <c r="E32" s="10" t="s">
        <v>621</v>
      </c>
      <c r="F32" s="1" t="s">
        <v>29</v>
      </c>
      <c r="G32" s="6">
        <f>COUNTIF(papers!$B$2:$B$28,B32)</f>
        <v>0</v>
      </c>
    </row>
    <row r="33">
      <c r="A33" s="3" t="s">
        <v>628</v>
      </c>
      <c r="B33" s="13" t="s">
        <v>629</v>
      </c>
      <c r="C33" s="5">
        <v>2024.0</v>
      </c>
      <c r="D33" s="5">
        <v>1.0</v>
      </c>
      <c r="E33" s="10" t="s">
        <v>630</v>
      </c>
      <c r="F33" s="1" t="s">
        <v>43</v>
      </c>
      <c r="G33" s="6">
        <f>COUNTIF(papers!$B$2:$B$28,B33)</f>
        <v>0</v>
      </c>
      <c r="H33" s="1" t="s">
        <v>225</v>
      </c>
    </row>
    <row r="34">
      <c r="A34" s="3" t="s">
        <v>641</v>
      </c>
      <c r="B34" s="13" t="s">
        <v>328</v>
      </c>
      <c r="C34" s="5">
        <v>2020.0</v>
      </c>
      <c r="D34" s="5">
        <v>4.0</v>
      </c>
      <c r="E34" s="10" t="s">
        <v>643</v>
      </c>
      <c r="F34" s="1" t="s">
        <v>43</v>
      </c>
      <c r="G34" s="6">
        <f>COUNTIF(papers!$B$2:$B$28,B34)</f>
        <v>1</v>
      </c>
      <c r="H34" s="1" t="s">
        <v>655</v>
      </c>
    </row>
    <row r="35">
      <c r="A35" s="3" t="s">
        <v>656</v>
      </c>
      <c r="B35" s="13" t="s">
        <v>350</v>
      </c>
      <c r="C35" s="5">
        <v>2020.0</v>
      </c>
      <c r="D35" s="5">
        <v>81.0</v>
      </c>
      <c r="E35" s="10" t="s">
        <v>657</v>
      </c>
      <c r="F35" s="1" t="s">
        <v>43</v>
      </c>
      <c r="G35" s="6">
        <f>COUNTIF(papers!$B$2:$B$28,B35)</f>
        <v>1</v>
      </c>
      <c r="H35" s="1" t="s">
        <v>679</v>
      </c>
    </row>
    <row r="36">
      <c r="A36" s="4"/>
      <c r="B36" s="3" t="s">
        <v>683</v>
      </c>
      <c r="C36" s="5">
        <v>2022.0</v>
      </c>
      <c r="D36" s="5">
        <v>0.0</v>
      </c>
      <c r="E36" s="10" t="s">
        <v>686</v>
      </c>
      <c r="F36" s="1" t="s">
        <v>29</v>
      </c>
      <c r="G36" s="6">
        <f>COUNTIF(papers!$B$2:$B$28,B36)</f>
        <v>0</v>
      </c>
    </row>
    <row r="37">
      <c r="A37" s="3" t="s">
        <v>706</v>
      </c>
      <c r="B37" s="13" t="s">
        <v>546</v>
      </c>
      <c r="C37" s="5">
        <v>2023.0</v>
      </c>
      <c r="D37" s="5">
        <v>0.0</v>
      </c>
      <c r="E37" s="10" t="s">
        <v>715</v>
      </c>
      <c r="F37" s="1" t="s">
        <v>43</v>
      </c>
      <c r="G37" s="6">
        <f>COUNTIF(papers!$B$2:$B$28,B37)</f>
        <v>0</v>
      </c>
      <c r="H37" s="1" t="s">
        <v>750</v>
      </c>
    </row>
    <row r="38">
      <c r="A38" s="3" t="s">
        <v>754</v>
      </c>
      <c r="B38" s="37" t="s">
        <v>756</v>
      </c>
      <c r="C38" s="5">
        <v>2022.0</v>
      </c>
      <c r="D38" s="5">
        <v>14.0</v>
      </c>
      <c r="E38" s="10" t="s">
        <v>759</v>
      </c>
      <c r="F38" s="1" t="s">
        <v>43</v>
      </c>
      <c r="G38" s="6">
        <f>COUNTIF(papers!$B$2:$B$28,B38)</f>
        <v>0</v>
      </c>
      <c r="H38" s="1" t="s">
        <v>774</v>
      </c>
    </row>
    <row r="39">
      <c r="A39" s="3" t="s">
        <v>227</v>
      </c>
      <c r="B39" s="13" t="s">
        <v>312</v>
      </c>
      <c r="C39" s="5">
        <v>2022.0</v>
      </c>
      <c r="D39" s="5">
        <v>4.0</v>
      </c>
      <c r="E39" s="10" t="s">
        <v>779</v>
      </c>
      <c r="F39" s="1" t="s">
        <v>43</v>
      </c>
      <c r="G39" s="6">
        <f>COUNTIF(papers!$B$2:$B$28,B39)</f>
        <v>1</v>
      </c>
      <c r="H39" s="1" t="s">
        <v>806</v>
      </c>
    </row>
    <row r="40">
      <c r="A40" s="3" t="s">
        <v>810</v>
      </c>
      <c r="B40" s="13" t="s">
        <v>309</v>
      </c>
      <c r="C40" s="5">
        <v>2022.0</v>
      </c>
      <c r="D40" s="5">
        <v>2.0</v>
      </c>
      <c r="E40" s="10" t="s">
        <v>813</v>
      </c>
      <c r="F40" s="1" t="s">
        <v>43</v>
      </c>
      <c r="G40" s="6">
        <f>COUNTIF(papers!$B$2:$B$28,B40)</f>
        <v>1</v>
      </c>
      <c r="H40" s="1" t="s">
        <v>853</v>
      </c>
    </row>
    <row r="41">
      <c r="A41" s="3" t="s">
        <v>854</v>
      </c>
      <c r="B41" s="3" t="s">
        <v>316</v>
      </c>
      <c r="C41" s="5">
        <v>2022.0</v>
      </c>
      <c r="D41" s="5">
        <v>4.0</v>
      </c>
      <c r="E41" s="10" t="s">
        <v>855</v>
      </c>
      <c r="F41" s="1" t="s">
        <v>43</v>
      </c>
      <c r="G41" s="6">
        <f>COUNTIF(papers!$B$2:$B$28,B41)</f>
        <v>1</v>
      </c>
    </row>
    <row r="42">
      <c r="A42" s="3" t="s">
        <v>870</v>
      </c>
      <c r="B42" s="13" t="s">
        <v>872</v>
      </c>
      <c r="C42" s="5">
        <v>2024.0</v>
      </c>
      <c r="D42" s="5">
        <v>0.0</v>
      </c>
      <c r="E42" s="10" t="s">
        <v>874</v>
      </c>
      <c r="F42" s="1" t="s">
        <v>43</v>
      </c>
      <c r="G42" s="6">
        <f>COUNTIF(papers!$B$2:$B$28,B42)</f>
        <v>0</v>
      </c>
      <c r="H42" s="1" t="s">
        <v>895</v>
      </c>
    </row>
    <row r="43">
      <c r="A43" s="3" t="s">
        <v>896</v>
      </c>
      <c r="B43" s="3" t="s">
        <v>323</v>
      </c>
      <c r="C43" s="5">
        <v>2021.0</v>
      </c>
      <c r="D43" s="5">
        <v>1.0</v>
      </c>
      <c r="E43" s="10" t="s">
        <v>897</v>
      </c>
      <c r="F43" s="1" t="s">
        <v>43</v>
      </c>
      <c r="G43" s="6">
        <f>COUNTIF(papers!$B$2:$B$28,B43)</f>
        <v>1</v>
      </c>
    </row>
    <row r="44">
      <c r="A44" s="3" t="s">
        <v>911</v>
      </c>
      <c r="B44" s="13" t="s">
        <v>210</v>
      </c>
      <c r="C44" s="5">
        <v>2019.0</v>
      </c>
      <c r="D44" s="5">
        <v>9.0</v>
      </c>
      <c r="E44" s="10" t="s">
        <v>915</v>
      </c>
      <c r="F44" s="1" t="s">
        <v>43</v>
      </c>
      <c r="G44" s="6">
        <f>COUNTIF(papers!$B$2:$B$28,B44)</f>
        <v>1</v>
      </c>
      <c r="H44" s="1" t="s">
        <v>934</v>
      </c>
    </row>
    <row r="45">
      <c r="A45" s="4"/>
      <c r="B45" s="3" t="s">
        <v>325</v>
      </c>
      <c r="C45" s="5">
        <v>2021.0</v>
      </c>
      <c r="D45" s="5">
        <v>0.0</v>
      </c>
      <c r="E45" s="10" t="s">
        <v>935</v>
      </c>
      <c r="F45" s="1" t="s">
        <v>29</v>
      </c>
      <c r="G45" s="6">
        <f>COUNTIF(papers!$B$2:$B$28,B45)</f>
        <v>1</v>
      </c>
    </row>
    <row r="46">
      <c r="A46" s="4"/>
      <c r="B46" s="3" t="s">
        <v>326</v>
      </c>
      <c r="C46" s="5">
        <v>2021.0</v>
      </c>
      <c r="D46" s="5">
        <v>0.0</v>
      </c>
      <c r="E46" s="10" t="s">
        <v>959</v>
      </c>
      <c r="F46" s="1" t="s">
        <v>29</v>
      </c>
      <c r="G46" s="6">
        <f>COUNTIF(papers!$B$2:$B$28,B46)</f>
        <v>1</v>
      </c>
    </row>
    <row r="47">
      <c r="A47" s="3" t="s">
        <v>969</v>
      </c>
      <c r="B47" s="13" t="s">
        <v>971</v>
      </c>
      <c r="C47" s="5">
        <v>2023.0</v>
      </c>
      <c r="D47" s="5">
        <v>1.0</v>
      </c>
      <c r="E47" s="10" t="s">
        <v>975</v>
      </c>
      <c r="F47" s="1" t="s">
        <v>43</v>
      </c>
      <c r="G47" s="6">
        <f>COUNTIF(papers!$B$2:$B$28,B47)</f>
        <v>0</v>
      </c>
      <c r="H47" s="1" t="s">
        <v>225</v>
      </c>
    </row>
    <row r="48">
      <c r="A48" s="3" t="s">
        <v>993</v>
      </c>
      <c r="B48" s="13" t="s">
        <v>994</v>
      </c>
      <c r="C48" s="5">
        <v>2023.0</v>
      </c>
      <c r="D48" s="5">
        <v>10.0</v>
      </c>
      <c r="E48" s="10" t="s">
        <v>995</v>
      </c>
      <c r="F48" s="1" t="s">
        <v>43</v>
      </c>
      <c r="G48" s="6">
        <f>COUNTIF(papers!$B$2:$B$28,B48)</f>
        <v>0</v>
      </c>
      <c r="H48" s="1" t="s">
        <v>1008</v>
      </c>
    </row>
    <row r="49">
      <c r="A49" s="3" t="s">
        <v>1009</v>
      </c>
      <c r="B49" s="16" t="s">
        <v>291</v>
      </c>
      <c r="C49" s="5">
        <v>2022.0</v>
      </c>
      <c r="D49" s="5">
        <v>32.0</v>
      </c>
      <c r="E49" s="10" t="s">
        <v>1012</v>
      </c>
      <c r="F49" s="1" t="s">
        <v>43</v>
      </c>
      <c r="G49" s="6">
        <f>COUNTIF(papers!$B$2:$B$28,B49)</f>
        <v>1</v>
      </c>
      <c r="H49" s="1" t="s">
        <v>1024</v>
      </c>
    </row>
    <row r="50">
      <c r="A50" s="3" t="s">
        <v>1025</v>
      </c>
      <c r="B50" s="13" t="s">
        <v>701</v>
      </c>
      <c r="C50" s="5">
        <v>2024.0</v>
      </c>
      <c r="D50" s="5">
        <v>0.0</v>
      </c>
      <c r="E50" s="10" t="s">
        <v>1029</v>
      </c>
      <c r="F50" s="1" t="s">
        <v>43</v>
      </c>
      <c r="G50" s="6">
        <f>COUNTIF(papers!$B$2:$B$28,B50)</f>
        <v>0</v>
      </c>
      <c r="H50" s="1" t="s">
        <v>225</v>
      </c>
    </row>
    <row r="51">
      <c r="A51" s="3" t="s">
        <v>1043</v>
      </c>
      <c r="B51" s="13" t="s">
        <v>280</v>
      </c>
      <c r="C51" s="5">
        <v>2023.0</v>
      </c>
      <c r="D51" s="5">
        <v>27.0</v>
      </c>
      <c r="E51" s="10" t="s">
        <v>1044</v>
      </c>
      <c r="F51" s="1" t="s">
        <v>43</v>
      </c>
      <c r="G51" s="6">
        <f>COUNTIF(papers!$B$2:$B$28,B51)</f>
        <v>1</v>
      </c>
      <c r="H51" s="1" t="s">
        <v>1055</v>
      </c>
    </row>
    <row r="52">
      <c r="A52" s="3" t="s">
        <v>1056</v>
      </c>
      <c r="B52" s="13" t="s">
        <v>1058</v>
      </c>
      <c r="C52" s="5">
        <v>2023.0</v>
      </c>
      <c r="D52" s="5">
        <v>2.0</v>
      </c>
      <c r="E52" s="10" t="s">
        <v>1061</v>
      </c>
      <c r="F52" s="1" t="s">
        <v>43</v>
      </c>
      <c r="G52" s="6">
        <f>COUNTIF(papers!$B$2:$B$28,B52)</f>
        <v>0</v>
      </c>
      <c r="H52" s="1" t="s">
        <v>895</v>
      </c>
    </row>
    <row r="53">
      <c r="A53" s="4"/>
      <c r="B53" s="3" t="s">
        <v>1068</v>
      </c>
      <c r="C53" s="5">
        <v>2023.0</v>
      </c>
      <c r="D53" s="5">
        <v>0.0</v>
      </c>
      <c r="E53" s="10" t="s">
        <v>1069</v>
      </c>
      <c r="F53" s="1" t="s">
        <v>29</v>
      </c>
      <c r="G53" s="6">
        <f>COUNTIF(papers!$B$2:$B$28,B53)</f>
        <v>0</v>
      </c>
    </row>
    <row r="54">
      <c r="A54" s="3" t="s">
        <v>1075</v>
      </c>
      <c r="B54" s="3" t="s">
        <v>1076</v>
      </c>
      <c r="C54" s="5">
        <v>2024.0</v>
      </c>
      <c r="D54" s="5">
        <v>0.0</v>
      </c>
      <c r="E54" s="10" t="s">
        <v>1077</v>
      </c>
      <c r="F54" s="1" t="s">
        <v>39</v>
      </c>
      <c r="G54" s="6">
        <f>COUNTIF(papers!$B$2:$B$28,B54)</f>
        <v>0</v>
      </c>
      <c r="H54" s="1" t="s">
        <v>1024</v>
      </c>
    </row>
    <row r="55">
      <c r="A55" s="3" t="s">
        <v>1086</v>
      </c>
      <c r="B55" s="3" t="s">
        <v>1088</v>
      </c>
      <c r="C55" s="5">
        <v>2024.0</v>
      </c>
      <c r="D55" s="5">
        <v>0.0</v>
      </c>
      <c r="E55" s="10" t="s">
        <v>1091</v>
      </c>
      <c r="F55" s="1" t="s">
        <v>58</v>
      </c>
      <c r="G55" s="6">
        <f>COUNTIF(papers!$B$2:$B$28,B55)</f>
        <v>0</v>
      </c>
      <c r="H55" s="1" t="s">
        <v>1024</v>
      </c>
    </row>
    <row r="56">
      <c r="A56" s="3" t="s">
        <v>1102</v>
      </c>
      <c r="B56" s="13" t="s">
        <v>1105</v>
      </c>
      <c r="C56" s="5">
        <v>2023.0</v>
      </c>
      <c r="D56" s="5">
        <v>0.0</v>
      </c>
      <c r="E56" s="10" t="s">
        <v>1108</v>
      </c>
      <c r="F56" s="1" t="s">
        <v>43</v>
      </c>
      <c r="G56" s="6">
        <f>COUNTIF(papers!$B$2:$B$28,B56)</f>
        <v>0</v>
      </c>
      <c r="H56" s="1" t="s">
        <v>1115</v>
      </c>
    </row>
    <row r="57">
      <c r="A57" s="3" t="s">
        <v>1117</v>
      </c>
      <c r="B57" s="13" t="s">
        <v>837</v>
      </c>
      <c r="C57" s="5">
        <v>2024.0</v>
      </c>
      <c r="D57" s="5">
        <v>0.0</v>
      </c>
      <c r="E57" s="10" t="s">
        <v>1121</v>
      </c>
      <c r="F57" s="1" t="s">
        <v>43</v>
      </c>
      <c r="G57" s="6">
        <f>COUNTIF(papers!$B$2:$B$28,B57)</f>
        <v>0</v>
      </c>
      <c r="H57" s="1" t="s">
        <v>470</v>
      </c>
    </row>
    <row r="60">
      <c r="A60" s="1" t="s">
        <v>1136</v>
      </c>
    </row>
    <row r="61">
      <c r="B61" s="3" t="s">
        <v>6</v>
      </c>
      <c r="C61" s="3" t="s">
        <v>7</v>
      </c>
    </row>
    <row r="62">
      <c r="B62" s="3" t="s">
        <v>526</v>
      </c>
      <c r="C62" s="5">
        <v>2023.0</v>
      </c>
      <c r="H62" s="1" t="s">
        <v>1138</v>
      </c>
    </row>
    <row r="63">
      <c r="B63" s="3" t="s">
        <v>1139</v>
      </c>
      <c r="C63" s="5">
        <v>2018.0</v>
      </c>
    </row>
    <row r="64">
      <c r="B64" s="3" t="s">
        <v>1140</v>
      </c>
      <c r="C64" s="5">
        <v>2025.0</v>
      </c>
    </row>
    <row r="65">
      <c r="B65" s="3" t="s">
        <v>1142</v>
      </c>
      <c r="C65" s="5">
        <v>2024.0</v>
      </c>
    </row>
    <row r="66">
      <c r="B66" s="3" t="s">
        <v>1143</v>
      </c>
      <c r="C66" s="5">
        <v>2022.0</v>
      </c>
    </row>
    <row r="67">
      <c r="B67" s="3" t="s">
        <v>346</v>
      </c>
      <c r="C67" s="5">
        <v>2020.0</v>
      </c>
      <c r="H67" s="1" t="s">
        <v>1138</v>
      </c>
    </row>
    <row r="68">
      <c r="B68" s="3" t="s">
        <v>612</v>
      </c>
      <c r="C68" s="5">
        <v>2025.0</v>
      </c>
    </row>
    <row r="69">
      <c r="B69" s="3" t="s">
        <v>619</v>
      </c>
      <c r="C69" s="5">
        <v>2023.0</v>
      </c>
      <c r="H69" s="1" t="s">
        <v>1138</v>
      </c>
    </row>
    <row r="70">
      <c r="B70" s="3" t="s">
        <v>151</v>
      </c>
      <c r="C70" s="5">
        <v>2023.0</v>
      </c>
      <c r="H70" s="1" t="s">
        <v>1138</v>
      </c>
    </row>
    <row r="71">
      <c r="B71" s="3" t="s">
        <v>1152</v>
      </c>
      <c r="C71" s="5">
        <v>2017.0</v>
      </c>
    </row>
    <row r="72">
      <c r="B72" s="3" t="s">
        <v>1154</v>
      </c>
      <c r="C72" s="5">
        <v>2023.0</v>
      </c>
    </row>
    <row r="73">
      <c r="B73" s="3" t="s">
        <v>756</v>
      </c>
      <c r="C73" s="5">
        <v>2022.0</v>
      </c>
      <c r="H73" s="1" t="s">
        <v>1138</v>
      </c>
    </row>
    <row r="74">
      <c r="B74" s="3" t="s">
        <v>625</v>
      </c>
      <c r="C74" s="5">
        <v>2024.0</v>
      </c>
    </row>
    <row r="75">
      <c r="B75" s="3" t="s">
        <v>625</v>
      </c>
      <c r="C75" s="5">
        <v>2024.0</v>
      </c>
      <c r="H75" s="1" t="s">
        <v>1138</v>
      </c>
    </row>
    <row r="76">
      <c r="B76" s="3" t="s">
        <v>1157</v>
      </c>
      <c r="C76" s="5">
        <v>2024.0</v>
      </c>
    </row>
    <row r="77">
      <c r="B77" s="3" t="s">
        <v>312</v>
      </c>
      <c r="C77" s="5">
        <v>2022.0</v>
      </c>
      <c r="H77" s="1" t="s">
        <v>1138</v>
      </c>
    </row>
    <row r="78">
      <c r="B78" s="3" t="s">
        <v>1161</v>
      </c>
      <c r="C78" s="5">
        <v>2021.0</v>
      </c>
    </row>
    <row r="79">
      <c r="B79" s="3" t="s">
        <v>1164</v>
      </c>
      <c r="C79" s="5">
        <v>2024.0</v>
      </c>
    </row>
    <row r="80">
      <c r="B80" s="3" t="s">
        <v>255</v>
      </c>
      <c r="C80" s="5">
        <v>2022.0</v>
      </c>
      <c r="H80" s="1" t="s">
        <v>1138</v>
      </c>
    </row>
    <row r="81">
      <c r="B81" s="3" t="s">
        <v>325</v>
      </c>
      <c r="C81" s="5">
        <v>2021.0</v>
      </c>
      <c r="H81" s="1" t="s">
        <v>1138</v>
      </c>
    </row>
    <row r="82">
      <c r="B82" s="3" t="s">
        <v>1168</v>
      </c>
      <c r="C82" s="5">
        <v>2024.0</v>
      </c>
    </row>
    <row r="83">
      <c r="B83" s="3" t="s">
        <v>326</v>
      </c>
      <c r="C83" s="5">
        <v>2021.0</v>
      </c>
      <c r="H83" s="1" t="s">
        <v>1138</v>
      </c>
    </row>
    <row r="84">
      <c r="B84" s="3" t="s">
        <v>971</v>
      </c>
      <c r="C84" s="5">
        <v>2023.0</v>
      </c>
    </row>
    <row r="85">
      <c r="B85" s="3" t="s">
        <v>1151</v>
      </c>
      <c r="C85" s="5">
        <v>2024.0</v>
      </c>
      <c r="H85" s="1" t="s">
        <v>1138</v>
      </c>
    </row>
    <row r="86">
      <c r="B86" s="3" t="s">
        <v>1169</v>
      </c>
      <c r="C86" s="5">
        <v>2023.0</v>
      </c>
    </row>
    <row r="87">
      <c r="B87" s="3" t="s">
        <v>994</v>
      </c>
      <c r="C87" s="5">
        <v>2023.0</v>
      </c>
      <c r="H87" s="1" t="s">
        <v>1138</v>
      </c>
    </row>
    <row r="88">
      <c r="B88" s="3" t="s">
        <v>349</v>
      </c>
      <c r="C88" s="5">
        <v>2023.0</v>
      </c>
      <c r="H88" s="1" t="s">
        <v>1138</v>
      </c>
    </row>
    <row r="89">
      <c r="B89" s="3" t="s">
        <v>291</v>
      </c>
      <c r="C89" s="5">
        <v>2022.0</v>
      </c>
      <c r="H89" s="1" t="s">
        <v>1138</v>
      </c>
    </row>
    <row r="90">
      <c r="B90" s="3" t="s">
        <v>625</v>
      </c>
      <c r="C90" s="5">
        <v>2024.0</v>
      </c>
      <c r="H90" s="1" t="s">
        <v>1138</v>
      </c>
    </row>
    <row r="91">
      <c r="B91" s="3" t="s">
        <v>297</v>
      </c>
      <c r="C91" s="5">
        <v>2022.0</v>
      </c>
      <c r="H91" s="1" t="s">
        <v>1138</v>
      </c>
    </row>
    <row r="92">
      <c r="B92" s="3" t="s">
        <v>625</v>
      </c>
      <c r="C92" s="5">
        <v>2024.0</v>
      </c>
      <c r="H92" s="1" t="s">
        <v>1138</v>
      </c>
    </row>
    <row r="93">
      <c r="B93" s="3" t="s">
        <v>1179</v>
      </c>
      <c r="C93" s="5">
        <v>2021.0</v>
      </c>
    </row>
    <row r="94">
      <c r="B94" s="3" t="s">
        <v>1180</v>
      </c>
      <c r="C94" s="5">
        <v>2024.0</v>
      </c>
    </row>
    <row r="95">
      <c r="B95" s="3" t="s">
        <v>1181</v>
      </c>
      <c r="C95" s="5">
        <v>2024.0</v>
      </c>
    </row>
    <row r="96">
      <c r="B96" s="3" t="s">
        <v>1182</v>
      </c>
      <c r="C96" s="5">
        <v>2024.0</v>
      </c>
    </row>
    <row r="97">
      <c r="B97" s="3" t="s">
        <v>303</v>
      </c>
      <c r="C97" s="5">
        <v>2022.0</v>
      </c>
      <c r="H97" s="1" t="s">
        <v>1138</v>
      </c>
    </row>
    <row r="98">
      <c r="B98" s="3" t="s">
        <v>1183</v>
      </c>
      <c r="C98" s="5">
        <v>2022.0</v>
      </c>
    </row>
    <row r="99">
      <c r="B99" s="3" t="s">
        <v>1184</v>
      </c>
      <c r="C99" s="5">
        <v>2023.0</v>
      </c>
    </row>
    <row r="100">
      <c r="B100" s="3" t="s">
        <v>625</v>
      </c>
      <c r="C100" s="5">
        <v>2025.0</v>
      </c>
      <c r="H100" s="1" t="s">
        <v>1138</v>
      </c>
    </row>
    <row r="101">
      <c r="B101" s="3" t="s">
        <v>1185</v>
      </c>
      <c r="C101" s="5">
        <v>2012.0</v>
      </c>
    </row>
    <row r="102">
      <c r="B102" s="3" t="s">
        <v>1186</v>
      </c>
      <c r="C102" s="5">
        <v>2022.0</v>
      </c>
    </row>
  </sheetData>
  <autoFilter ref="$A$1:$A$1000"/>
  <hyperlinks>
    <hyperlink r:id="rId4" ref="E2"/>
    <hyperlink r:id="rId5" ref="E3"/>
    <hyperlink r:id="rId6" ref="E4"/>
    <hyperlink r:id="rId7" ref="E5"/>
    <hyperlink r:id="rId8" ref="E6"/>
    <hyperlink r:id="rId9" ref="E7"/>
    <hyperlink r:id="rId10" ref="E8"/>
    <hyperlink r:id="rId11" ref="E9"/>
    <hyperlink r:id="rId12" ref="E10"/>
    <hyperlink r:id="rId13" ref="E11"/>
    <hyperlink r:id="rId14" ref="E12"/>
    <hyperlink r:id="rId15" ref="E13"/>
    <hyperlink r:id="rId16" ref="E14"/>
    <hyperlink r:id="rId17" ref="E15"/>
    <hyperlink r:id="rId18" ref="E16"/>
    <hyperlink r:id="rId19" ref="E17"/>
    <hyperlink r:id="rId20" ref="E18"/>
    <hyperlink r:id="rId21" ref="E19"/>
    <hyperlink r:id="rId22" ref="E20"/>
    <hyperlink r:id="rId23" ref="E21"/>
    <hyperlink r:id="rId24" ref="E22"/>
    <hyperlink r:id="rId25" ref="E23"/>
    <hyperlink r:id="rId26" ref="E24"/>
    <hyperlink r:id="rId27" ref="E25"/>
    <hyperlink r:id="rId28" ref="E26"/>
    <hyperlink r:id="rId29" ref="E27"/>
    <hyperlink r:id="rId30" ref="E28"/>
    <hyperlink r:id="rId31" ref="E29"/>
    <hyperlink r:id="rId32" ref="E30"/>
    <hyperlink r:id="rId33" ref="E31"/>
    <hyperlink r:id="rId34" ref="E32"/>
    <hyperlink r:id="rId35" ref="E33"/>
    <hyperlink r:id="rId36" ref="E34"/>
    <hyperlink r:id="rId37" ref="E35"/>
    <hyperlink r:id="rId38" ref="E36"/>
    <hyperlink r:id="rId39" ref="E37"/>
    <hyperlink r:id="rId40" ref="E38"/>
    <hyperlink r:id="rId41" ref="E39"/>
    <hyperlink r:id="rId42" ref="E40"/>
    <hyperlink r:id="rId43" ref="E41"/>
    <hyperlink r:id="rId44" ref="E42"/>
    <hyperlink r:id="rId45" ref="E43"/>
    <hyperlink r:id="rId46" ref="E44"/>
    <hyperlink r:id="rId47" ref="E45"/>
    <hyperlink r:id="rId48" ref="E46"/>
    <hyperlink r:id="rId49" ref="E47"/>
    <hyperlink r:id="rId50" ref="E48"/>
    <hyperlink r:id="rId51" ref="E49"/>
    <hyperlink r:id="rId52" ref="E50"/>
    <hyperlink r:id="rId53" ref="E51"/>
    <hyperlink r:id="rId54" ref="E52"/>
    <hyperlink r:id="rId55" ref="E53"/>
    <hyperlink r:id="rId56" ref="E54"/>
    <hyperlink r:id="rId57" ref="E55"/>
    <hyperlink r:id="rId58" ref="E56"/>
    <hyperlink r:id="rId59" ref="E57"/>
  </hyperlinks>
  <drawing r:id="rId60"/>
  <legacyDrawing r:id="rId6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s>
  <sheetData>
    <row r="2">
      <c r="B2" s="1" t="s">
        <v>0</v>
      </c>
    </row>
    <row r="3">
      <c r="A3" s="1" t="s">
        <v>2</v>
      </c>
      <c r="B3" s="1" t="s">
        <v>3</v>
      </c>
      <c r="C3" s="6">
        <f>countif(Survey!$F$2:$F$57,A3)</f>
        <v>0</v>
      </c>
    </row>
    <row r="4">
      <c r="A4" s="1" t="s">
        <v>29</v>
      </c>
      <c r="B4" s="1" t="s">
        <v>32</v>
      </c>
      <c r="C4" s="6">
        <f>countif(Survey!$F$2:$F$57,A4)</f>
        <v>13</v>
      </c>
    </row>
    <row r="5">
      <c r="A5" s="1" t="s">
        <v>37</v>
      </c>
      <c r="B5" s="1" t="s">
        <v>38</v>
      </c>
      <c r="C5" s="6">
        <f>countif(Survey!$F$2:$F$57,A5)</f>
        <v>0</v>
      </c>
    </row>
    <row r="6">
      <c r="A6" s="1" t="s">
        <v>39</v>
      </c>
      <c r="B6" s="1" t="s">
        <v>40</v>
      </c>
      <c r="C6" s="6">
        <f>countif(Survey!$F$2:$F$57,A6)</f>
        <v>1</v>
      </c>
    </row>
    <row r="7">
      <c r="A7" s="1" t="s">
        <v>41</v>
      </c>
      <c r="B7" s="1" t="s">
        <v>42</v>
      </c>
      <c r="C7" s="6">
        <f>countif(Survey!$F$2:$F$57,A7)</f>
        <v>0</v>
      </c>
    </row>
    <row r="8">
      <c r="A8" s="1" t="s">
        <v>43</v>
      </c>
      <c r="B8" s="1" t="s">
        <v>44</v>
      </c>
      <c r="C8" s="6">
        <f>countif(Survey!$F$2:$F$57,A8)</f>
        <v>41</v>
      </c>
    </row>
    <row r="9">
      <c r="A9" s="1" t="s">
        <v>58</v>
      </c>
      <c r="B9" s="1" t="s">
        <v>59</v>
      </c>
      <c r="C9" s="6">
        <f>countif(Survey!$F$2:$F$57,A9)</f>
        <v>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5"/>
    <col customWidth="1" min="2" max="2" width="48.75"/>
    <col customWidth="1" min="3" max="3" width="8.0"/>
    <col customWidth="1" min="4" max="4" width="5.63"/>
    <col customWidth="1" min="5" max="5" width="44.13"/>
  </cols>
  <sheetData>
    <row r="1">
      <c r="A1" s="2" t="s">
        <v>1</v>
      </c>
      <c r="B1" s="2" t="s">
        <v>6</v>
      </c>
      <c r="C1" s="2" t="s">
        <v>7</v>
      </c>
    </row>
    <row r="2">
      <c r="A2" s="2" t="s">
        <v>278</v>
      </c>
      <c r="B2" s="2" t="s">
        <v>280</v>
      </c>
      <c r="C2" s="7">
        <v>2023.0</v>
      </c>
      <c r="D2" s="1" t="s">
        <v>43</v>
      </c>
      <c r="E2" s="6">
        <f>countif(D2:D28,"")</f>
        <v>0</v>
      </c>
    </row>
    <row r="3">
      <c r="A3" s="2" t="s">
        <v>289</v>
      </c>
      <c r="B3" s="2" t="s">
        <v>291</v>
      </c>
      <c r="C3" s="7">
        <v>2022.0</v>
      </c>
      <c r="D3" s="1" t="s">
        <v>39</v>
      </c>
    </row>
    <row r="4">
      <c r="A4" s="2" t="s">
        <v>294</v>
      </c>
      <c r="B4" s="2" t="s">
        <v>108</v>
      </c>
      <c r="C4" s="7">
        <v>2022.0</v>
      </c>
      <c r="D4" s="1" t="s">
        <v>58</v>
      </c>
    </row>
    <row r="5">
      <c r="A5" s="25" t="s">
        <v>295</v>
      </c>
      <c r="B5" s="25" t="s">
        <v>297</v>
      </c>
      <c r="C5" s="26">
        <v>2022.0</v>
      </c>
      <c r="D5" s="1" t="s">
        <v>29</v>
      </c>
    </row>
    <row r="6">
      <c r="A6" s="25" t="s">
        <v>295</v>
      </c>
      <c r="B6" s="25" t="s">
        <v>303</v>
      </c>
      <c r="C6" s="26">
        <v>2022.0</v>
      </c>
      <c r="D6" s="1" t="s">
        <v>29</v>
      </c>
    </row>
    <row r="7">
      <c r="A7" s="2" t="s">
        <v>307</v>
      </c>
      <c r="B7" s="2" t="s">
        <v>309</v>
      </c>
      <c r="C7" s="7">
        <v>2022.0</v>
      </c>
      <c r="D7" s="1" t="s">
        <v>43</v>
      </c>
    </row>
    <row r="8">
      <c r="A8" s="2" t="s">
        <v>311</v>
      </c>
      <c r="B8" s="2" t="s">
        <v>312</v>
      </c>
      <c r="C8" s="7">
        <v>2022.0</v>
      </c>
      <c r="D8" s="1" t="s">
        <v>43</v>
      </c>
    </row>
    <row r="9">
      <c r="A9" s="27" t="s">
        <v>315</v>
      </c>
      <c r="B9" s="27" t="s">
        <v>316</v>
      </c>
      <c r="C9" s="28">
        <v>2022.0</v>
      </c>
      <c r="D9" s="29" t="s">
        <v>58</v>
      </c>
    </row>
    <row r="10">
      <c r="A10" s="25" t="s">
        <v>295</v>
      </c>
      <c r="B10" s="25" t="s">
        <v>255</v>
      </c>
      <c r="C10" s="26">
        <v>2022.0</v>
      </c>
      <c r="D10" s="1" t="s">
        <v>29</v>
      </c>
    </row>
    <row r="11">
      <c r="A11" s="2" t="s">
        <v>320</v>
      </c>
      <c r="B11" s="2" t="s">
        <v>321</v>
      </c>
      <c r="C11" s="7">
        <v>2021.0</v>
      </c>
      <c r="D11" s="1" t="s">
        <v>39</v>
      </c>
    </row>
    <row r="12">
      <c r="A12" s="27" t="s">
        <v>322</v>
      </c>
      <c r="B12" s="27" t="s">
        <v>323</v>
      </c>
      <c r="C12" s="28">
        <v>2021.0</v>
      </c>
      <c r="D12" s="29" t="s">
        <v>43</v>
      </c>
      <c r="E12" s="1" t="s">
        <v>324</v>
      </c>
    </row>
    <row r="13">
      <c r="A13" s="25" t="s">
        <v>295</v>
      </c>
      <c r="B13" s="25" t="s">
        <v>325</v>
      </c>
      <c r="C13" s="26">
        <v>2021.0</v>
      </c>
      <c r="D13" s="1" t="s">
        <v>29</v>
      </c>
    </row>
    <row r="14">
      <c r="A14" s="25" t="s">
        <v>295</v>
      </c>
      <c r="B14" s="25" t="s">
        <v>326</v>
      </c>
      <c r="C14" s="26">
        <v>2021.0</v>
      </c>
      <c r="D14" s="1" t="s">
        <v>29</v>
      </c>
    </row>
    <row r="15">
      <c r="A15" s="2" t="s">
        <v>311</v>
      </c>
      <c r="B15" s="2" t="s">
        <v>229</v>
      </c>
      <c r="C15" s="7">
        <v>2021.0</v>
      </c>
      <c r="D15" s="1" t="s">
        <v>43</v>
      </c>
    </row>
    <row r="16">
      <c r="A16" s="2" t="s">
        <v>327</v>
      </c>
      <c r="B16" s="2" t="s">
        <v>328</v>
      </c>
      <c r="C16" s="7">
        <v>2020.0</v>
      </c>
      <c r="D16" s="1" t="s">
        <v>43</v>
      </c>
    </row>
    <row r="17">
      <c r="A17" s="2" t="s">
        <v>331</v>
      </c>
      <c r="B17" s="2" t="s">
        <v>259</v>
      </c>
      <c r="C17" s="7">
        <v>2020.0</v>
      </c>
      <c r="D17" s="1" t="s">
        <v>43</v>
      </c>
    </row>
    <row r="18">
      <c r="A18" s="2" t="s">
        <v>332</v>
      </c>
      <c r="B18" s="30" t="s">
        <v>336</v>
      </c>
      <c r="C18" s="7">
        <v>2020.0</v>
      </c>
      <c r="D18" s="1" t="s">
        <v>43</v>
      </c>
      <c r="E18" s="1" t="s">
        <v>343</v>
      </c>
    </row>
    <row r="19">
      <c r="A19" s="2" t="s">
        <v>344</v>
      </c>
      <c r="B19" s="2" t="s">
        <v>346</v>
      </c>
      <c r="C19" s="7">
        <v>2020.0</v>
      </c>
      <c r="D19" s="1" t="s">
        <v>58</v>
      </c>
    </row>
    <row r="20">
      <c r="A20" s="2" t="s">
        <v>348</v>
      </c>
      <c r="B20" s="30" t="s">
        <v>350</v>
      </c>
      <c r="C20" s="7">
        <v>2020.0</v>
      </c>
      <c r="D20" s="1" t="s">
        <v>43</v>
      </c>
      <c r="E20" s="1" t="s">
        <v>343</v>
      </c>
    </row>
    <row r="21">
      <c r="A21" s="2" t="s">
        <v>354</v>
      </c>
      <c r="B21" s="2" t="s">
        <v>355</v>
      </c>
      <c r="C21" s="7">
        <v>2019.0</v>
      </c>
      <c r="D21" s="1" t="s">
        <v>39</v>
      </c>
    </row>
    <row r="22">
      <c r="A22" s="2" t="s">
        <v>356</v>
      </c>
      <c r="B22" s="2" t="s">
        <v>242</v>
      </c>
      <c r="C22" s="7">
        <v>2019.0</v>
      </c>
      <c r="D22" s="1" t="s">
        <v>43</v>
      </c>
    </row>
    <row r="23">
      <c r="A23" s="2" t="s">
        <v>357</v>
      </c>
      <c r="B23" s="2" t="s">
        <v>210</v>
      </c>
      <c r="C23" s="7">
        <v>2019.0</v>
      </c>
      <c r="D23" s="1" t="s">
        <v>43</v>
      </c>
    </row>
    <row r="24">
      <c r="A24" s="25" t="s">
        <v>295</v>
      </c>
      <c r="B24" s="25" t="s">
        <v>358</v>
      </c>
      <c r="C24" s="26">
        <v>2019.0</v>
      </c>
      <c r="D24" s="1" t="s">
        <v>29</v>
      </c>
    </row>
    <row r="25">
      <c r="A25" s="2" t="s">
        <v>359</v>
      </c>
      <c r="B25" s="2" t="s">
        <v>175</v>
      </c>
      <c r="C25" s="7">
        <v>2018.0</v>
      </c>
      <c r="D25" s="1" t="s">
        <v>43</v>
      </c>
    </row>
    <row r="26">
      <c r="A26" s="2" t="s">
        <v>360</v>
      </c>
      <c r="B26" s="2" t="s">
        <v>361</v>
      </c>
      <c r="C26" s="7">
        <v>2017.0</v>
      </c>
      <c r="D26" s="1" t="s">
        <v>37</v>
      </c>
      <c r="E26" s="1" t="s">
        <v>363</v>
      </c>
    </row>
    <row r="27">
      <c r="A27" s="25" t="s">
        <v>295</v>
      </c>
      <c r="B27" s="25" t="s">
        <v>17</v>
      </c>
      <c r="C27" s="26">
        <v>2015.0</v>
      </c>
      <c r="D27" s="1" t="s">
        <v>29</v>
      </c>
    </row>
    <row r="28">
      <c r="A28" s="25" t="s">
        <v>295</v>
      </c>
      <c r="B28" s="25" t="s">
        <v>365</v>
      </c>
      <c r="C28" s="26">
        <v>2013.0</v>
      </c>
      <c r="D28" s="1" t="s">
        <v>29</v>
      </c>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s>
  <sheetData>
    <row r="2">
      <c r="B2" s="1" t="s">
        <v>0</v>
      </c>
    </row>
    <row r="3">
      <c r="A3" s="1" t="s">
        <v>2</v>
      </c>
      <c r="B3" s="1" t="s">
        <v>3</v>
      </c>
      <c r="C3" s="6">
        <f>countif(papers!$D$2:$D$28,A3)</f>
        <v>0</v>
      </c>
    </row>
    <row r="4">
      <c r="A4" s="1" t="s">
        <v>29</v>
      </c>
      <c r="B4" s="1" t="s">
        <v>32</v>
      </c>
      <c r="C4" s="6">
        <f>countif(papers!$D$2:$D$28,A4)</f>
        <v>8</v>
      </c>
    </row>
    <row r="5">
      <c r="A5" s="1" t="s">
        <v>37</v>
      </c>
      <c r="B5" s="1" t="s">
        <v>38</v>
      </c>
      <c r="C5" s="6">
        <f>countif(papers!$D$2:$D$28,A5)</f>
        <v>1</v>
      </c>
    </row>
    <row r="6">
      <c r="A6" s="1" t="s">
        <v>39</v>
      </c>
      <c r="B6" s="1" t="s">
        <v>40</v>
      </c>
      <c r="C6" s="6">
        <f>countif(papers!$D$2:$D$28,A6)</f>
        <v>3</v>
      </c>
    </row>
    <row r="7">
      <c r="A7" s="1" t="s">
        <v>41</v>
      </c>
      <c r="B7" s="1" t="s">
        <v>42</v>
      </c>
      <c r="C7" s="6">
        <f>countif(papers!$D$2:$D$28,A7)</f>
        <v>0</v>
      </c>
    </row>
    <row r="8">
      <c r="A8" s="1" t="s">
        <v>43</v>
      </c>
      <c r="B8" s="1" t="s">
        <v>44</v>
      </c>
      <c r="C8" s="6">
        <f>countif(papers!$D$2:$D$28,A8)</f>
        <v>12</v>
      </c>
    </row>
    <row r="9">
      <c r="A9" s="1" t="s">
        <v>58</v>
      </c>
      <c r="B9" s="1" t="s">
        <v>59</v>
      </c>
      <c r="C9" s="6">
        <f>countif(papers!$D$2:$D$28,A9)</f>
        <v>3</v>
      </c>
    </row>
    <row r="10">
      <c r="C10" s="6">
        <f>SUM(C3:C9)</f>
        <v>27</v>
      </c>
    </row>
    <row r="11">
      <c r="C11" s="6">
        <f>sum(C3:C7,C9)</f>
        <v>15</v>
      </c>
    </row>
    <row r="12">
      <c r="C12" s="6">
        <f>C10-C11</f>
        <v>12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2.5"/>
    <col customWidth="1" min="3" max="3" width="18.75"/>
    <col customWidth="1" min="4" max="4" width="17.38"/>
    <col customWidth="1" min="5" max="5" width="20.13"/>
    <col customWidth="1" min="6" max="6" width="17.0"/>
  </cols>
  <sheetData>
    <row r="1">
      <c r="A1" s="32" t="s">
        <v>660</v>
      </c>
      <c r="B1" s="33" t="s">
        <v>670</v>
      </c>
      <c r="C1" s="33" t="s">
        <v>671</v>
      </c>
      <c r="D1" s="33" t="s">
        <v>672</v>
      </c>
      <c r="E1" s="33" t="s">
        <v>673</v>
      </c>
      <c r="F1" s="1" t="s">
        <v>15</v>
      </c>
    </row>
    <row r="2" ht="99.75" customHeight="1">
      <c r="A2" s="32">
        <v>1.0</v>
      </c>
      <c r="B2" s="33" t="s">
        <v>675</v>
      </c>
      <c r="C2" s="33" t="s">
        <v>676</v>
      </c>
      <c r="D2" s="34" t="s">
        <v>681</v>
      </c>
      <c r="E2" s="33" t="s">
        <v>689</v>
      </c>
      <c r="F2" s="1" t="s">
        <v>690</v>
      </c>
    </row>
    <row r="3" ht="113.25" customHeight="1">
      <c r="A3" s="32">
        <v>2.0</v>
      </c>
      <c r="B3" s="33" t="s">
        <v>691</v>
      </c>
      <c r="C3" s="33" t="s">
        <v>692</v>
      </c>
      <c r="D3" s="33" t="s">
        <v>693</v>
      </c>
      <c r="E3" s="33" t="s">
        <v>694</v>
      </c>
      <c r="F3" s="1" t="s">
        <v>690</v>
      </c>
    </row>
    <row r="4" ht="108.75" customHeight="1">
      <c r="A4" s="32">
        <v>3.0</v>
      </c>
      <c r="B4" s="33" t="s">
        <v>696</v>
      </c>
      <c r="C4" s="33" t="s">
        <v>697</v>
      </c>
      <c r="D4" s="33" t="s">
        <v>698</v>
      </c>
      <c r="E4" s="35"/>
      <c r="F4" s="1" t="s">
        <v>690</v>
      </c>
    </row>
    <row r="5" ht="172.5" customHeight="1">
      <c r="A5" s="32">
        <v>4.0</v>
      </c>
      <c r="B5" s="33" t="s">
        <v>710</v>
      </c>
      <c r="C5" s="35"/>
      <c r="D5" s="35"/>
      <c r="E5" s="35"/>
    </row>
    <row r="6" ht="99.75" customHeight="1">
      <c r="A6" s="32">
        <v>5.0</v>
      </c>
      <c r="B6" s="33" t="s">
        <v>713</v>
      </c>
      <c r="C6" s="33" t="s">
        <v>716</v>
      </c>
      <c r="D6" s="35"/>
      <c r="E6" s="33" t="s">
        <v>717</v>
      </c>
      <c r="F6" s="1" t="s">
        <v>690</v>
      </c>
    </row>
    <row r="7" ht="114.75" customHeight="1">
      <c r="A7" s="32">
        <v>6.0</v>
      </c>
      <c r="B7" s="34" t="s">
        <v>718</v>
      </c>
      <c r="C7" s="33" t="s">
        <v>719</v>
      </c>
      <c r="D7" s="33" t="s">
        <v>720</v>
      </c>
      <c r="E7" s="33" t="s">
        <v>717</v>
      </c>
      <c r="F7" s="1" t="s">
        <v>690</v>
      </c>
    </row>
    <row r="8" ht="78.75" customHeight="1">
      <c r="A8" s="32">
        <v>7.0</v>
      </c>
      <c r="B8" s="33" t="s">
        <v>721</v>
      </c>
      <c r="C8" s="35"/>
      <c r="D8" s="33"/>
      <c r="E8" s="33" t="s">
        <v>722</v>
      </c>
      <c r="F8" s="1" t="s">
        <v>690</v>
      </c>
    </row>
    <row r="9" ht="171.0" customHeight="1">
      <c r="A9" s="32">
        <v>8.0</v>
      </c>
      <c r="B9" s="33" t="s">
        <v>723</v>
      </c>
      <c r="C9" s="33" t="s">
        <v>724</v>
      </c>
      <c r="D9" s="33" t="s">
        <v>725</v>
      </c>
      <c r="E9" s="34" t="s">
        <v>726</v>
      </c>
      <c r="F9" s="1" t="s">
        <v>690</v>
      </c>
    </row>
    <row r="10" ht="128.25" customHeight="1">
      <c r="A10" s="32">
        <v>9.0</v>
      </c>
      <c r="B10" s="33" t="s">
        <v>727</v>
      </c>
      <c r="C10" s="33" t="s">
        <v>729</v>
      </c>
      <c r="D10" s="33" t="s">
        <v>731</v>
      </c>
      <c r="E10" s="35"/>
      <c r="F10" s="1" t="s">
        <v>690</v>
      </c>
    </row>
    <row r="11">
      <c r="A11" s="32">
        <v>10.0</v>
      </c>
      <c r="B11" s="36" t="s">
        <v>737</v>
      </c>
      <c r="C11" s="33" t="s">
        <v>740</v>
      </c>
      <c r="D11" s="33" t="s">
        <v>741</v>
      </c>
      <c r="E11" s="33" t="s">
        <v>742</v>
      </c>
      <c r="F11" s="1" t="s">
        <v>690</v>
      </c>
    </row>
    <row r="12">
      <c r="A12" s="32">
        <v>11.0</v>
      </c>
      <c r="B12" s="33" t="s">
        <v>745</v>
      </c>
      <c r="C12" s="33" t="s">
        <v>746</v>
      </c>
      <c r="D12" s="36" t="s">
        <v>748</v>
      </c>
      <c r="E12" s="35"/>
      <c r="F12" s="1" t="s">
        <v>690</v>
      </c>
    </row>
    <row r="13">
      <c r="A13" s="32">
        <v>12.0</v>
      </c>
      <c r="B13" s="36" t="s">
        <v>749</v>
      </c>
      <c r="C13" s="33" t="s">
        <v>751</v>
      </c>
      <c r="D13" s="33" t="s">
        <v>753</v>
      </c>
      <c r="E13" s="35"/>
      <c r="F13" s="1" t="s">
        <v>690</v>
      </c>
    </row>
    <row r="14">
      <c r="A14" s="32">
        <v>13.0</v>
      </c>
      <c r="B14" s="33" t="s">
        <v>755</v>
      </c>
      <c r="C14" s="33" t="s">
        <v>757</v>
      </c>
      <c r="D14" s="36" t="s">
        <v>758</v>
      </c>
      <c r="E14" s="35"/>
      <c r="F14" s="1" t="s">
        <v>690</v>
      </c>
    </row>
    <row r="15">
      <c r="A15" s="32">
        <v>14.0</v>
      </c>
      <c r="B15" s="33" t="s">
        <v>762</v>
      </c>
      <c r="C15" s="33" t="s">
        <v>764</v>
      </c>
      <c r="D15" s="33" t="s">
        <v>765</v>
      </c>
      <c r="E15" s="35"/>
      <c r="F15" s="1" t="s">
        <v>690</v>
      </c>
    </row>
    <row r="16">
      <c r="A16" s="32">
        <v>15.0</v>
      </c>
      <c r="B16" s="33" t="s">
        <v>773</v>
      </c>
      <c r="C16" s="33" t="s">
        <v>777</v>
      </c>
      <c r="D16" s="33" t="s">
        <v>780</v>
      </c>
      <c r="E16" s="35"/>
      <c r="F16" s="1" t="s">
        <v>690</v>
      </c>
    </row>
    <row r="17">
      <c r="A17" s="32">
        <v>16.0</v>
      </c>
      <c r="B17" s="33" t="s">
        <v>787</v>
      </c>
      <c r="C17" s="33" t="s">
        <v>788</v>
      </c>
      <c r="D17" s="33" t="s">
        <v>789</v>
      </c>
      <c r="E17" s="35"/>
      <c r="F17" s="1" t="s">
        <v>690</v>
      </c>
    </row>
    <row r="18">
      <c r="A18" s="32">
        <v>17.0</v>
      </c>
      <c r="B18" s="33" t="s">
        <v>795</v>
      </c>
      <c r="C18" s="33" t="s">
        <v>796</v>
      </c>
      <c r="D18" s="33" t="s">
        <v>798</v>
      </c>
      <c r="E18" s="33"/>
      <c r="F18" s="33" t="s">
        <v>799</v>
      </c>
    </row>
    <row r="19">
      <c r="A19" s="32">
        <v>18.0</v>
      </c>
      <c r="B19" s="33" t="s">
        <v>800</v>
      </c>
      <c r="C19" s="33" t="s">
        <v>801</v>
      </c>
      <c r="D19" s="33" t="s">
        <v>802</v>
      </c>
      <c r="E19" s="35"/>
    </row>
    <row r="20">
      <c r="A20" s="32">
        <v>19.0</v>
      </c>
      <c r="B20" s="33" t="s">
        <v>805</v>
      </c>
      <c r="C20" s="33" t="s">
        <v>807</v>
      </c>
      <c r="D20" s="33" t="s">
        <v>808</v>
      </c>
      <c r="E20" s="33"/>
      <c r="F20" s="38" t="s">
        <v>799</v>
      </c>
    </row>
    <row r="21">
      <c r="A21" s="32">
        <v>20.0</v>
      </c>
      <c r="B21" s="33" t="s">
        <v>821</v>
      </c>
      <c r="C21" s="33" t="s">
        <v>823</v>
      </c>
      <c r="D21" s="39" t="s">
        <v>825</v>
      </c>
      <c r="E21" s="35"/>
    </row>
    <row r="22">
      <c r="A22" s="32">
        <v>21.0</v>
      </c>
      <c r="B22" s="36" t="s">
        <v>826</v>
      </c>
      <c r="C22" s="33" t="s">
        <v>827</v>
      </c>
      <c r="D22" s="35"/>
      <c r="E22" s="35"/>
    </row>
    <row r="23">
      <c r="A23" s="32">
        <v>22.0</v>
      </c>
      <c r="B23" s="33" t="s">
        <v>828</v>
      </c>
      <c r="C23" s="33" t="s">
        <v>829</v>
      </c>
      <c r="D23" s="33" t="s">
        <v>830</v>
      </c>
      <c r="E23" s="35"/>
    </row>
    <row r="24">
      <c r="A24" s="32">
        <v>23.0</v>
      </c>
      <c r="B24" s="33" t="s">
        <v>831</v>
      </c>
      <c r="C24" s="33" t="s">
        <v>832</v>
      </c>
      <c r="D24" s="33" t="s">
        <v>833</v>
      </c>
      <c r="E24" s="35"/>
    </row>
    <row r="25">
      <c r="A25" s="32">
        <v>24.0</v>
      </c>
      <c r="B25" s="33" t="s">
        <v>836</v>
      </c>
      <c r="C25" s="33" t="s">
        <v>838</v>
      </c>
      <c r="D25" s="33" t="s">
        <v>840</v>
      </c>
      <c r="E25" s="35"/>
    </row>
    <row r="26">
      <c r="A26" s="32">
        <v>25.0</v>
      </c>
      <c r="B26" s="36" t="s">
        <v>844</v>
      </c>
      <c r="C26" s="35"/>
      <c r="D26" s="33" t="s">
        <v>846</v>
      </c>
      <c r="E26" s="35"/>
    </row>
    <row r="27">
      <c r="A27" s="40"/>
      <c r="B27" s="35"/>
      <c r="C27" s="35"/>
      <c r="D27" s="35"/>
      <c r="E27" s="35"/>
    </row>
    <row r="28">
      <c r="A28" s="40"/>
      <c r="B28" s="35"/>
      <c r="C28" s="35"/>
      <c r="D28" s="35"/>
      <c r="E28" s="35"/>
    </row>
    <row r="29">
      <c r="A29" s="40"/>
      <c r="B29" s="35"/>
      <c r="C29" s="35"/>
      <c r="D29" s="35"/>
      <c r="E29" s="35"/>
    </row>
    <row r="30">
      <c r="A30" s="40"/>
      <c r="B30" s="35"/>
      <c r="C30" s="35"/>
      <c r="D30" s="35"/>
      <c r="E30" s="35"/>
    </row>
    <row r="31">
      <c r="A31" s="40"/>
      <c r="B31" s="35"/>
      <c r="C31" s="35"/>
      <c r="D31" s="35"/>
      <c r="E31" s="35"/>
    </row>
    <row r="32">
      <c r="A32" s="40"/>
      <c r="B32" s="35"/>
      <c r="C32" s="35"/>
      <c r="D32" s="35"/>
      <c r="E32" s="35"/>
    </row>
    <row r="33">
      <c r="A33" s="40"/>
      <c r="B33" s="35"/>
      <c r="C33" s="35"/>
      <c r="D33" s="35"/>
      <c r="E33" s="35"/>
    </row>
    <row r="34">
      <c r="A34" s="40"/>
      <c r="B34" s="35"/>
      <c r="C34" s="35"/>
      <c r="D34" s="35"/>
      <c r="E34" s="35"/>
    </row>
    <row r="35">
      <c r="A35" s="40"/>
      <c r="B35" s="35"/>
      <c r="C35" s="35"/>
      <c r="D35" s="35"/>
      <c r="E35" s="35"/>
    </row>
    <row r="36">
      <c r="A36" s="40"/>
      <c r="B36" s="35"/>
      <c r="C36" s="35"/>
      <c r="D36" s="35"/>
      <c r="E36" s="35"/>
    </row>
    <row r="37">
      <c r="A37" s="40"/>
      <c r="B37" s="35"/>
      <c r="C37" s="35"/>
      <c r="D37" s="35"/>
      <c r="E37" s="35"/>
    </row>
    <row r="38">
      <c r="A38" s="40"/>
      <c r="B38" s="35"/>
      <c r="C38" s="35"/>
      <c r="D38" s="35"/>
      <c r="E38" s="35"/>
    </row>
    <row r="39">
      <c r="A39" s="40"/>
      <c r="B39" s="35"/>
      <c r="C39" s="35"/>
      <c r="D39" s="35"/>
      <c r="E39" s="35"/>
    </row>
    <row r="40">
      <c r="A40" s="40"/>
      <c r="B40" s="35"/>
      <c r="C40" s="35"/>
      <c r="D40" s="35"/>
      <c r="E40" s="35"/>
    </row>
    <row r="41">
      <c r="A41" s="40"/>
      <c r="B41" s="35"/>
      <c r="C41" s="35"/>
      <c r="D41" s="35"/>
      <c r="E41" s="35"/>
    </row>
    <row r="42">
      <c r="A42" s="40"/>
      <c r="B42" s="35"/>
      <c r="C42" s="35"/>
      <c r="D42" s="35"/>
      <c r="E42" s="35"/>
    </row>
    <row r="43">
      <c r="A43" s="40"/>
      <c r="B43" s="35"/>
      <c r="C43" s="35"/>
      <c r="D43" s="35"/>
      <c r="E43" s="35"/>
    </row>
    <row r="44">
      <c r="A44" s="40"/>
      <c r="B44" s="35"/>
      <c r="C44" s="35"/>
      <c r="D44" s="35"/>
      <c r="E44" s="35"/>
    </row>
    <row r="45">
      <c r="A45" s="40"/>
      <c r="B45" s="35"/>
      <c r="C45" s="35"/>
      <c r="D45" s="35"/>
      <c r="E45" s="35"/>
    </row>
    <row r="46">
      <c r="A46" s="40"/>
      <c r="B46" s="35"/>
      <c r="C46" s="35"/>
      <c r="D46" s="35"/>
      <c r="E46" s="35"/>
    </row>
    <row r="47">
      <c r="A47" s="40"/>
      <c r="B47" s="35"/>
      <c r="C47" s="35"/>
      <c r="D47" s="35"/>
      <c r="E47" s="35"/>
    </row>
    <row r="48">
      <c r="A48" s="40"/>
      <c r="B48" s="35"/>
      <c r="C48" s="35"/>
      <c r="D48" s="35"/>
      <c r="E48" s="35"/>
    </row>
    <row r="49">
      <c r="A49" s="40"/>
      <c r="B49" s="35"/>
      <c r="C49" s="35"/>
      <c r="D49" s="35"/>
      <c r="E49" s="35"/>
    </row>
    <row r="50">
      <c r="A50" s="40"/>
      <c r="B50" s="35"/>
      <c r="C50" s="35"/>
      <c r="D50" s="35"/>
      <c r="E50" s="35"/>
    </row>
    <row r="51">
      <c r="A51" s="40"/>
      <c r="B51" s="35"/>
      <c r="C51" s="35"/>
      <c r="D51" s="35"/>
      <c r="E51" s="35"/>
    </row>
    <row r="52">
      <c r="A52" s="40"/>
      <c r="B52" s="35"/>
      <c r="C52" s="35"/>
      <c r="D52" s="35"/>
      <c r="E52" s="35"/>
    </row>
    <row r="53">
      <c r="A53" s="40"/>
      <c r="B53" s="35"/>
      <c r="C53" s="35"/>
      <c r="D53" s="35"/>
      <c r="E53" s="35"/>
    </row>
    <row r="54">
      <c r="A54" s="40"/>
      <c r="B54" s="35"/>
      <c r="C54" s="35"/>
      <c r="D54" s="35"/>
      <c r="E54" s="35"/>
    </row>
    <row r="55">
      <c r="A55" s="40"/>
      <c r="B55" s="35"/>
      <c r="C55" s="35"/>
      <c r="D55" s="35"/>
      <c r="E55" s="35"/>
    </row>
    <row r="56">
      <c r="A56" s="40"/>
      <c r="B56" s="35"/>
      <c r="C56" s="35"/>
      <c r="D56" s="35"/>
      <c r="E56" s="35"/>
    </row>
    <row r="57">
      <c r="A57" s="40"/>
      <c r="B57" s="35"/>
      <c r="C57" s="35"/>
      <c r="D57" s="35"/>
      <c r="E57" s="35"/>
    </row>
    <row r="58">
      <c r="A58" s="40"/>
      <c r="B58" s="35"/>
      <c r="C58" s="35"/>
      <c r="D58" s="35"/>
      <c r="E58" s="35"/>
    </row>
    <row r="59">
      <c r="A59" s="40"/>
      <c r="B59" s="35"/>
      <c r="C59" s="35"/>
      <c r="D59" s="35"/>
      <c r="E59" s="35"/>
    </row>
    <row r="60">
      <c r="A60" s="40"/>
      <c r="B60" s="35"/>
      <c r="C60" s="35"/>
      <c r="D60" s="35"/>
      <c r="E60" s="35"/>
    </row>
    <row r="61">
      <c r="A61" s="40"/>
      <c r="B61" s="35"/>
      <c r="C61" s="35"/>
      <c r="D61" s="35"/>
      <c r="E61" s="35"/>
    </row>
    <row r="62">
      <c r="A62" s="40"/>
      <c r="B62" s="35"/>
      <c r="C62" s="35"/>
      <c r="D62" s="35"/>
      <c r="E62" s="35"/>
    </row>
    <row r="63">
      <c r="A63" s="40"/>
      <c r="B63" s="35"/>
      <c r="C63" s="35"/>
      <c r="D63" s="35"/>
      <c r="E63" s="35"/>
    </row>
    <row r="64">
      <c r="A64" s="40"/>
      <c r="B64" s="35"/>
      <c r="C64" s="35"/>
      <c r="D64" s="35"/>
      <c r="E64" s="35"/>
    </row>
    <row r="65">
      <c r="A65" s="40"/>
      <c r="B65" s="35"/>
      <c r="C65" s="35"/>
      <c r="D65" s="35"/>
      <c r="E65" s="35"/>
    </row>
    <row r="66">
      <c r="A66" s="40"/>
      <c r="B66" s="35"/>
      <c r="C66" s="35"/>
      <c r="D66" s="35"/>
      <c r="E66" s="35"/>
    </row>
    <row r="67">
      <c r="A67" s="40"/>
      <c r="B67" s="35"/>
      <c r="C67" s="35"/>
      <c r="D67" s="35"/>
      <c r="E67" s="35"/>
    </row>
    <row r="68">
      <c r="A68" s="40"/>
      <c r="B68" s="35"/>
      <c r="C68" s="35"/>
      <c r="D68" s="35"/>
      <c r="E68" s="35"/>
    </row>
    <row r="69">
      <c r="A69" s="40"/>
      <c r="B69" s="35"/>
      <c r="C69" s="35"/>
      <c r="D69" s="35"/>
      <c r="E69" s="35"/>
    </row>
    <row r="70">
      <c r="A70" s="40"/>
      <c r="B70" s="35"/>
      <c r="C70" s="35"/>
      <c r="D70" s="35"/>
      <c r="E70" s="35"/>
    </row>
    <row r="71">
      <c r="A71" s="40"/>
      <c r="B71" s="35"/>
      <c r="C71" s="35"/>
      <c r="D71" s="35"/>
      <c r="E71" s="35"/>
    </row>
    <row r="72">
      <c r="A72" s="40"/>
      <c r="B72" s="35"/>
      <c r="C72" s="35"/>
      <c r="D72" s="35"/>
      <c r="E72" s="35"/>
    </row>
    <row r="73">
      <c r="A73" s="40"/>
      <c r="B73" s="35"/>
      <c r="C73" s="35"/>
      <c r="D73" s="35"/>
      <c r="E73" s="35"/>
    </row>
    <row r="74">
      <c r="A74" s="40"/>
      <c r="B74" s="35"/>
      <c r="C74" s="35"/>
      <c r="D74" s="35"/>
      <c r="E74" s="35"/>
    </row>
    <row r="75">
      <c r="A75" s="40"/>
      <c r="B75" s="35"/>
      <c r="C75" s="35"/>
      <c r="D75" s="35"/>
      <c r="E75" s="35"/>
    </row>
    <row r="76">
      <c r="A76" s="40"/>
      <c r="B76" s="35"/>
      <c r="C76" s="35"/>
      <c r="D76" s="35"/>
      <c r="E76" s="35"/>
    </row>
    <row r="77">
      <c r="A77" s="40"/>
      <c r="B77" s="35"/>
      <c r="C77" s="35"/>
      <c r="D77" s="35"/>
      <c r="E77" s="35"/>
    </row>
    <row r="78">
      <c r="A78" s="40"/>
      <c r="B78" s="35"/>
      <c r="C78" s="35"/>
      <c r="D78" s="35"/>
      <c r="E78" s="35"/>
    </row>
    <row r="79">
      <c r="A79" s="40"/>
      <c r="B79" s="35"/>
      <c r="C79" s="35"/>
      <c r="D79" s="35"/>
      <c r="E79" s="35"/>
    </row>
    <row r="80">
      <c r="A80" s="40"/>
      <c r="B80" s="35"/>
      <c r="C80" s="35"/>
      <c r="D80" s="35"/>
      <c r="E80" s="35"/>
    </row>
    <row r="81">
      <c r="A81" s="40"/>
      <c r="B81" s="35"/>
      <c r="C81" s="35"/>
      <c r="D81" s="35"/>
      <c r="E81" s="35"/>
    </row>
    <row r="82">
      <c r="A82" s="40"/>
      <c r="B82" s="35"/>
      <c r="C82" s="35"/>
      <c r="D82" s="35"/>
      <c r="E82" s="35"/>
    </row>
    <row r="83">
      <c r="A83" s="40"/>
      <c r="B83" s="35"/>
      <c r="C83" s="35"/>
      <c r="D83" s="35"/>
      <c r="E83" s="35"/>
    </row>
    <row r="84">
      <c r="A84" s="40"/>
      <c r="B84" s="35"/>
      <c r="C84" s="35"/>
      <c r="D84" s="35"/>
      <c r="E84" s="35"/>
    </row>
    <row r="85">
      <c r="A85" s="40"/>
      <c r="B85" s="35"/>
      <c r="C85" s="35"/>
      <c r="D85" s="35"/>
      <c r="E85" s="35"/>
    </row>
    <row r="86">
      <c r="A86" s="40"/>
      <c r="B86" s="35"/>
      <c r="C86" s="35"/>
      <c r="D86" s="35"/>
      <c r="E86" s="35"/>
    </row>
    <row r="87">
      <c r="A87" s="40"/>
      <c r="B87" s="35"/>
      <c r="C87" s="35"/>
      <c r="D87" s="35"/>
      <c r="E87" s="35"/>
    </row>
    <row r="88">
      <c r="A88" s="40"/>
      <c r="B88" s="35"/>
      <c r="C88" s="35"/>
      <c r="D88" s="35"/>
      <c r="E88" s="35"/>
    </row>
    <row r="89">
      <c r="A89" s="40"/>
      <c r="B89" s="35"/>
      <c r="C89" s="35"/>
      <c r="D89" s="35"/>
      <c r="E89" s="35"/>
    </row>
    <row r="90">
      <c r="A90" s="40"/>
      <c r="B90" s="35"/>
      <c r="C90" s="35"/>
      <c r="D90" s="35"/>
      <c r="E90" s="35"/>
    </row>
    <row r="91">
      <c r="A91" s="40"/>
      <c r="B91" s="35"/>
      <c r="C91" s="35"/>
      <c r="D91" s="35"/>
      <c r="E91" s="35"/>
    </row>
    <row r="92">
      <c r="A92" s="40"/>
      <c r="B92" s="35"/>
      <c r="C92" s="35"/>
      <c r="D92" s="35"/>
      <c r="E92" s="35"/>
    </row>
    <row r="93">
      <c r="A93" s="40"/>
      <c r="B93" s="35"/>
      <c r="C93" s="35"/>
      <c r="D93" s="35"/>
      <c r="E93" s="35"/>
    </row>
    <row r="94">
      <c r="A94" s="40"/>
      <c r="B94" s="35"/>
      <c r="C94" s="35"/>
      <c r="D94" s="35"/>
      <c r="E94" s="35"/>
    </row>
    <row r="95">
      <c r="A95" s="40"/>
      <c r="B95" s="35"/>
      <c r="C95" s="35"/>
      <c r="D95" s="35"/>
      <c r="E95" s="35"/>
    </row>
    <row r="96">
      <c r="A96" s="40"/>
      <c r="B96" s="35"/>
      <c r="C96" s="35"/>
      <c r="D96" s="35"/>
      <c r="E96" s="35"/>
    </row>
    <row r="97">
      <c r="A97" s="40"/>
      <c r="B97" s="35"/>
      <c r="C97" s="35"/>
      <c r="D97" s="35"/>
      <c r="E97" s="35"/>
    </row>
    <row r="98">
      <c r="A98" s="40"/>
      <c r="B98" s="35"/>
      <c r="C98" s="35"/>
      <c r="D98" s="35"/>
      <c r="E98" s="35"/>
    </row>
    <row r="99">
      <c r="A99" s="40"/>
      <c r="B99" s="35"/>
      <c r="C99" s="35"/>
      <c r="D99" s="35"/>
      <c r="E99" s="35"/>
    </row>
    <row r="100">
      <c r="A100" s="40"/>
      <c r="B100" s="35"/>
      <c r="C100" s="35"/>
      <c r="D100" s="35"/>
      <c r="E100" s="35"/>
    </row>
    <row r="101">
      <c r="A101" s="40"/>
      <c r="B101" s="35"/>
      <c r="C101" s="35"/>
      <c r="D101" s="35"/>
      <c r="E101" s="35"/>
    </row>
    <row r="102">
      <c r="A102" s="40"/>
      <c r="B102" s="35"/>
      <c r="C102" s="35"/>
      <c r="D102" s="35"/>
      <c r="E102" s="35"/>
    </row>
    <row r="103">
      <c r="A103" s="40"/>
      <c r="B103" s="35"/>
      <c r="C103" s="35"/>
      <c r="D103" s="35"/>
      <c r="E103" s="35"/>
    </row>
    <row r="104">
      <c r="A104" s="40"/>
      <c r="B104" s="35"/>
      <c r="C104" s="35"/>
      <c r="D104" s="35"/>
      <c r="E104" s="35"/>
    </row>
    <row r="105">
      <c r="A105" s="40"/>
      <c r="B105" s="35"/>
      <c r="C105" s="35"/>
      <c r="D105" s="35"/>
      <c r="E105" s="35"/>
    </row>
    <row r="106">
      <c r="A106" s="40"/>
      <c r="B106" s="35"/>
      <c r="C106" s="35"/>
      <c r="D106" s="35"/>
      <c r="E106" s="35"/>
    </row>
    <row r="107">
      <c r="A107" s="40"/>
      <c r="B107" s="35"/>
      <c r="C107" s="35"/>
      <c r="D107" s="35"/>
      <c r="E107" s="35"/>
    </row>
    <row r="108">
      <c r="A108" s="40"/>
      <c r="B108" s="35"/>
      <c r="C108" s="35"/>
      <c r="D108" s="35"/>
      <c r="E108" s="35"/>
    </row>
    <row r="109">
      <c r="A109" s="40"/>
      <c r="B109" s="35"/>
      <c r="C109" s="35"/>
      <c r="D109" s="35"/>
      <c r="E109" s="35"/>
    </row>
    <row r="110">
      <c r="A110" s="40"/>
      <c r="B110" s="35"/>
      <c r="C110" s="35"/>
      <c r="D110" s="35"/>
      <c r="E110" s="35"/>
    </row>
    <row r="111">
      <c r="A111" s="40"/>
      <c r="B111" s="35"/>
      <c r="C111" s="35"/>
      <c r="D111" s="35"/>
      <c r="E111" s="35"/>
    </row>
    <row r="112">
      <c r="A112" s="40"/>
      <c r="B112" s="35"/>
      <c r="C112" s="35"/>
      <c r="D112" s="35"/>
      <c r="E112" s="35"/>
    </row>
    <row r="113">
      <c r="A113" s="40"/>
      <c r="B113" s="35"/>
      <c r="C113" s="35"/>
      <c r="D113" s="35"/>
      <c r="E113" s="35"/>
    </row>
    <row r="114">
      <c r="A114" s="40"/>
      <c r="B114" s="35"/>
      <c r="C114" s="35"/>
      <c r="D114" s="35"/>
      <c r="E114" s="35"/>
    </row>
    <row r="115">
      <c r="A115" s="40"/>
      <c r="B115" s="35"/>
      <c r="C115" s="35"/>
      <c r="D115" s="35"/>
      <c r="E115" s="35"/>
    </row>
    <row r="116">
      <c r="A116" s="40"/>
      <c r="B116" s="35"/>
      <c r="C116" s="35"/>
      <c r="D116" s="35"/>
      <c r="E116" s="35"/>
    </row>
    <row r="117">
      <c r="A117" s="40"/>
      <c r="B117" s="35"/>
      <c r="C117" s="35"/>
      <c r="D117" s="35"/>
      <c r="E117" s="35"/>
    </row>
    <row r="118">
      <c r="A118" s="40"/>
      <c r="B118" s="35"/>
      <c r="C118" s="35"/>
      <c r="D118" s="35"/>
      <c r="E118" s="35"/>
    </row>
    <row r="119">
      <c r="A119" s="40"/>
      <c r="B119" s="35"/>
      <c r="C119" s="35"/>
      <c r="D119" s="35"/>
      <c r="E119" s="35"/>
    </row>
    <row r="120">
      <c r="A120" s="40"/>
      <c r="B120" s="35"/>
      <c r="C120" s="35"/>
      <c r="D120" s="35"/>
      <c r="E120" s="35"/>
    </row>
    <row r="121">
      <c r="A121" s="40"/>
      <c r="B121" s="35"/>
      <c r="C121" s="35"/>
      <c r="D121" s="35"/>
      <c r="E121" s="35"/>
    </row>
    <row r="122">
      <c r="A122" s="40"/>
      <c r="B122" s="35"/>
      <c r="C122" s="35"/>
      <c r="D122" s="35"/>
      <c r="E122" s="35"/>
    </row>
    <row r="123">
      <c r="A123" s="40"/>
      <c r="B123" s="35"/>
      <c r="C123" s="35"/>
      <c r="D123" s="35"/>
      <c r="E123" s="35"/>
    </row>
    <row r="124">
      <c r="A124" s="40"/>
      <c r="B124" s="35"/>
      <c r="C124" s="35"/>
      <c r="D124" s="35"/>
      <c r="E124" s="35"/>
    </row>
    <row r="125">
      <c r="A125" s="40"/>
      <c r="B125" s="35"/>
      <c r="C125" s="35"/>
      <c r="D125" s="35"/>
      <c r="E125" s="35"/>
    </row>
    <row r="126">
      <c r="A126" s="40"/>
      <c r="B126" s="35"/>
      <c r="C126" s="35"/>
      <c r="D126" s="35"/>
      <c r="E126" s="35"/>
    </row>
    <row r="127">
      <c r="A127" s="40"/>
      <c r="B127" s="35"/>
      <c r="C127" s="35"/>
      <c r="D127" s="35"/>
      <c r="E127" s="35"/>
    </row>
    <row r="128">
      <c r="A128" s="40"/>
      <c r="B128" s="35"/>
      <c r="C128" s="35"/>
      <c r="D128" s="35"/>
      <c r="E128" s="35"/>
    </row>
    <row r="129">
      <c r="A129" s="40"/>
      <c r="B129" s="35"/>
      <c r="C129" s="35"/>
      <c r="D129" s="35"/>
      <c r="E129" s="35"/>
    </row>
    <row r="130">
      <c r="A130" s="40"/>
      <c r="B130" s="35"/>
      <c r="C130" s="35"/>
      <c r="D130" s="35"/>
      <c r="E130" s="35"/>
    </row>
    <row r="131">
      <c r="A131" s="40"/>
      <c r="B131" s="35"/>
      <c r="C131" s="35"/>
      <c r="D131" s="35"/>
      <c r="E131" s="35"/>
    </row>
    <row r="132">
      <c r="A132" s="40"/>
      <c r="B132" s="35"/>
      <c r="C132" s="35"/>
      <c r="D132" s="35"/>
      <c r="E132" s="35"/>
    </row>
    <row r="133">
      <c r="A133" s="40"/>
      <c r="B133" s="35"/>
      <c r="C133" s="35"/>
      <c r="D133" s="35"/>
      <c r="E133" s="35"/>
    </row>
    <row r="134">
      <c r="A134" s="40"/>
      <c r="B134" s="35"/>
      <c r="C134" s="35"/>
      <c r="D134" s="35"/>
      <c r="E134" s="35"/>
    </row>
    <row r="135">
      <c r="A135" s="40"/>
      <c r="B135" s="35"/>
      <c r="C135" s="35"/>
      <c r="D135" s="35"/>
      <c r="E135" s="35"/>
    </row>
    <row r="136">
      <c r="A136" s="40"/>
      <c r="B136" s="35"/>
      <c r="C136" s="35"/>
      <c r="D136" s="35"/>
      <c r="E136" s="35"/>
    </row>
    <row r="137">
      <c r="A137" s="40"/>
      <c r="B137" s="35"/>
      <c r="C137" s="35"/>
      <c r="D137" s="35"/>
      <c r="E137" s="35"/>
    </row>
    <row r="138">
      <c r="A138" s="40"/>
      <c r="B138" s="35"/>
      <c r="C138" s="35"/>
      <c r="D138" s="35"/>
      <c r="E138" s="35"/>
    </row>
    <row r="139">
      <c r="A139" s="40"/>
      <c r="B139" s="35"/>
      <c r="C139" s="35"/>
      <c r="D139" s="35"/>
      <c r="E139" s="35"/>
    </row>
    <row r="140">
      <c r="A140" s="40"/>
      <c r="B140" s="35"/>
      <c r="C140" s="35"/>
      <c r="D140" s="35"/>
      <c r="E140" s="35"/>
    </row>
    <row r="141">
      <c r="A141" s="40"/>
      <c r="B141" s="35"/>
      <c r="C141" s="35"/>
      <c r="D141" s="35"/>
      <c r="E141" s="35"/>
    </row>
    <row r="142">
      <c r="A142" s="40"/>
      <c r="B142" s="35"/>
      <c r="C142" s="35"/>
      <c r="D142" s="35"/>
      <c r="E142" s="35"/>
    </row>
    <row r="143">
      <c r="A143" s="40"/>
      <c r="B143" s="35"/>
      <c r="C143" s="35"/>
      <c r="D143" s="35"/>
      <c r="E143" s="35"/>
    </row>
    <row r="144">
      <c r="A144" s="40"/>
      <c r="B144" s="35"/>
      <c r="C144" s="35"/>
      <c r="D144" s="35"/>
      <c r="E144" s="35"/>
    </row>
    <row r="145">
      <c r="A145" s="40"/>
      <c r="B145" s="35"/>
      <c r="C145" s="35"/>
      <c r="D145" s="35"/>
      <c r="E145" s="35"/>
    </row>
    <row r="146">
      <c r="A146" s="40"/>
      <c r="B146" s="35"/>
      <c r="C146" s="35"/>
      <c r="D146" s="35"/>
      <c r="E146" s="35"/>
    </row>
    <row r="147">
      <c r="A147" s="40"/>
      <c r="B147" s="35"/>
      <c r="C147" s="35"/>
      <c r="D147" s="35"/>
      <c r="E147" s="35"/>
    </row>
    <row r="148">
      <c r="A148" s="40"/>
      <c r="B148" s="35"/>
      <c r="C148" s="35"/>
      <c r="D148" s="35"/>
      <c r="E148" s="35"/>
    </row>
    <row r="149">
      <c r="A149" s="40"/>
      <c r="B149" s="35"/>
      <c r="C149" s="35"/>
      <c r="D149" s="35"/>
      <c r="E149" s="35"/>
    </row>
    <row r="150">
      <c r="A150" s="40"/>
      <c r="B150" s="35"/>
      <c r="C150" s="35"/>
      <c r="D150" s="35"/>
      <c r="E150" s="35"/>
    </row>
    <row r="151">
      <c r="A151" s="40"/>
      <c r="B151" s="35"/>
      <c r="C151" s="35"/>
      <c r="D151" s="35"/>
      <c r="E151" s="35"/>
    </row>
    <row r="152">
      <c r="A152" s="40"/>
      <c r="B152" s="35"/>
      <c r="C152" s="35"/>
      <c r="D152" s="35"/>
      <c r="E152" s="35"/>
    </row>
    <row r="153">
      <c r="A153" s="40"/>
      <c r="B153" s="35"/>
      <c r="C153" s="35"/>
      <c r="D153" s="35"/>
      <c r="E153" s="35"/>
    </row>
    <row r="154">
      <c r="A154" s="40"/>
      <c r="B154" s="35"/>
      <c r="C154" s="35"/>
      <c r="D154" s="35"/>
      <c r="E154" s="35"/>
    </row>
    <row r="155">
      <c r="A155" s="40"/>
      <c r="B155" s="35"/>
      <c r="C155" s="35"/>
      <c r="D155" s="35"/>
      <c r="E155" s="35"/>
    </row>
    <row r="156">
      <c r="A156" s="40"/>
      <c r="B156" s="35"/>
      <c r="C156" s="35"/>
      <c r="D156" s="35"/>
      <c r="E156" s="35"/>
    </row>
    <row r="157">
      <c r="A157" s="40"/>
      <c r="B157" s="35"/>
      <c r="C157" s="35"/>
      <c r="D157" s="35"/>
      <c r="E157" s="35"/>
    </row>
    <row r="158">
      <c r="A158" s="40"/>
      <c r="B158" s="35"/>
      <c r="C158" s="35"/>
      <c r="D158" s="35"/>
      <c r="E158" s="35"/>
    </row>
    <row r="159">
      <c r="A159" s="40"/>
      <c r="B159" s="35"/>
      <c r="C159" s="35"/>
      <c r="D159" s="35"/>
      <c r="E159" s="35"/>
    </row>
    <row r="160">
      <c r="A160" s="40"/>
      <c r="B160" s="35"/>
      <c r="C160" s="35"/>
      <c r="D160" s="35"/>
      <c r="E160" s="35"/>
    </row>
    <row r="161">
      <c r="A161" s="40"/>
      <c r="B161" s="35"/>
      <c r="C161" s="35"/>
      <c r="D161" s="35"/>
      <c r="E161" s="35"/>
    </row>
    <row r="162">
      <c r="A162" s="40"/>
      <c r="B162" s="35"/>
      <c r="C162" s="35"/>
      <c r="D162" s="35"/>
      <c r="E162" s="35"/>
    </row>
    <row r="163">
      <c r="A163" s="40"/>
      <c r="B163" s="35"/>
      <c r="C163" s="35"/>
      <c r="D163" s="35"/>
      <c r="E163" s="35"/>
    </row>
    <row r="164">
      <c r="A164" s="40"/>
      <c r="B164" s="35"/>
      <c r="C164" s="35"/>
      <c r="D164" s="35"/>
      <c r="E164" s="35"/>
    </row>
    <row r="165">
      <c r="A165" s="40"/>
      <c r="B165" s="35"/>
      <c r="C165" s="35"/>
      <c r="D165" s="35"/>
      <c r="E165" s="35"/>
    </row>
    <row r="166">
      <c r="A166" s="40"/>
      <c r="B166" s="35"/>
      <c r="C166" s="35"/>
      <c r="D166" s="35"/>
      <c r="E166" s="35"/>
    </row>
    <row r="167">
      <c r="A167" s="40"/>
      <c r="B167" s="35"/>
      <c r="C167" s="35"/>
      <c r="D167" s="35"/>
      <c r="E167" s="35"/>
    </row>
    <row r="168">
      <c r="A168" s="40"/>
      <c r="B168" s="35"/>
      <c r="C168" s="35"/>
      <c r="D168" s="35"/>
      <c r="E168" s="35"/>
    </row>
    <row r="169">
      <c r="A169" s="40"/>
      <c r="B169" s="35"/>
      <c r="C169" s="35"/>
      <c r="D169" s="35"/>
      <c r="E169" s="35"/>
    </row>
    <row r="170">
      <c r="A170" s="40"/>
      <c r="B170" s="35"/>
      <c r="C170" s="35"/>
      <c r="D170" s="35"/>
      <c r="E170" s="35"/>
    </row>
    <row r="171">
      <c r="A171" s="40"/>
      <c r="B171" s="35"/>
      <c r="C171" s="35"/>
      <c r="D171" s="35"/>
      <c r="E171" s="35"/>
    </row>
    <row r="172">
      <c r="A172" s="40"/>
      <c r="B172" s="35"/>
      <c r="C172" s="35"/>
      <c r="D172" s="35"/>
      <c r="E172" s="35"/>
    </row>
    <row r="173">
      <c r="A173" s="40"/>
      <c r="B173" s="35"/>
      <c r="C173" s="35"/>
      <c r="D173" s="35"/>
      <c r="E173" s="35"/>
    </row>
    <row r="174">
      <c r="A174" s="40"/>
      <c r="B174" s="35"/>
      <c r="C174" s="35"/>
      <c r="D174" s="35"/>
      <c r="E174" s="35"/>
    </row>
    <row r="175">
      <c r="A175" s="40"/>
      <c r="B175" s="35"/>
      <c r="C175" s="35"/>
      <c r="D175" s="35"/>
      <c r="E175" s="35"/>
    </row>
    <row r="176">
      <c r="A176" s="40"/>
      <c r="B176" s="35"/>
      <c r="C176" s="35"/>
      <c r="D176" s="35"/>
      <c r="E176" s="35"/>
    </row>
    <row r="177">
      <c r="A177" s="40"/>
      <c r="B177" s="35"/>
      <c r="C177" s="35"/>
      <c r="D177" s="35"/>
      <c r="E177" s="35"/>
    </row>
    <row r="178">
      <c r="A178" s="40"/>
      <c r="B178" s="35"/>
      <c r="C178" s="35"/>
      <c r="D178" s="35"/>
      <c r="E178" s="35"/>
    </row>
    <row r="179">
      <c r="A179" s="40"/>
      <c r="B179" s="35"/>
      <c r="C179" s="35"/>
      <c r="D179" s="35"/>
      <c r="E179" s="35"/>
    </row>
    <row r="180">
      <c r="A180" s="40"/>
      <c r="B180" s="35"/>
      <c r="C180" s="35"/>
      <c r="D180" s="35"/>
      <c r="E180" s="35"/>
    </row>
    <row r="181">
      <c r="A181" s="40"/>
      <c r="B181" s="35"/>
      <c r="C181" s="35"/>
      <c r="D181" s="35"/>
      <c r="E181" s="35"/>
    </row>
    <row r="182">
      <c r="A182" s="40"/>
      <c r="B182" s="35"/>
      <c r="C182" s="35"/>
      <c r="D182" s="35"/>
      <c r="E182" s="35"/>
    </row>
    <row r="183">
      <c r="A183" s="40"/>
      <c r="B183" s="35"/>
      <c r="C183" s="35"/>
      <c r="D183" s="35"/>
      <c r="E183" s="35"/>
    </row>
    <row r="184">
      <c r="A184" s="40"/>
      <c r="B184" s="35"/>
      <c r="C184" s="35"/>
      <c r="D184" s="35"/>
      <c r="E184" s="35"/>
    </row>
    <row r="185">
      <c r="A185" s="40"/>
      <c r="B185" s="35"/>
      <c r="C185" s="35"/>
      <c r="D185" s="35"/>
      <c r="E185" s="35"/>
    </row>
    <row r="186">
      <c r="A186" s="40"/>
      <c r="B186" s="35"/>
      <c r="C186" s="35"/>
      <c r="D186" s="35"/>
      <c r="E186" s="35"/>
    </row>
    <row r="187">
      <c r="A187" s="40"/>
      <c r="B187" s="35"/>
      <c r="C187" s="35"/>
      <c r="D187" s="35"/>
      <c r="E187" s="35"/>
    </row>
    <row r="188">
      <c r="A188" s="40"/>
      <c r="B188" s="35"/>
      <c r="C188" s="35"/>
      <c r="D188" s="35"/>
      <c r="E188" s="35"/>
    </row>
    <row r="189">
      <c r="A189" s="40"/>
      <c r="B189" s="35"/>
      <c r="C189" s="35"/>
      <c r="D189" s="35"/>
      <c r="E189" s="35"/>
    </row>
    <row r="190">
      <c r="A190" s="40"/>
      <c r="B190" s="35"/>
      <c r="C190" s="35"/>
      <c r="D190" s="35"/>
      <c r="E190" s="35"/>
    </row>
    <row r="191">
      <c r="A191" s="40"/>
      <c r="B191" s="35"/>
      <c r="C191" s="35"/>
      <c r="D191" s="35"/>
      <c r="E191" s="35"/>
    </row>
    <row r="192">
      <c r="A192" s="40"/>
      <c r="B192" s="35"/>
      <c r="C192" s="35"/>
      <c r="D192" s="35"/>
      <c r="E192" s="35"/>
    </row>
    <row r="193">
      <c r="A193" s="40"/>
      <c r="B193" s="35"/>
      <c r="C193" s="35"/>
      <c r="D193" s="35"/>
      <c r="E193" s="35"/>
    </row>
    <row r="194">
      <c r="A194" s="40"/>
      <c r="B194" s="35"/>
      <c r="C194" s="35"/>
      <c r="D194" s="35"/>
      <c r="E194" s="35"/>
    </row>
    <row r="195">
      <c r="A195" s="40"/>
      <c r="B195" s="35"/>
      <c r="C195" s="35"/>
      <c r="D195" s="35"/>
      <c r="E195" s="35"/>
    </row>
    <row r="196">
      <c r="A196" s="40"/>
      <c r="B196" s="35"/>
      <c r="C196" s="35"/>
      <c r="D196" s="35"/>
      <c r="E196" s="35"/>
    </row>
    <row r="197">
      <c r="A197" s="40"/>
      <c r="B197" s="35"/>
      <c r="C197" s="35"/>
      <c r="D197" s="35"/>
      <c r="E197" s="35"/>
    </row>
    <row r="198">
      <c r="A198" s="40"/>
      <c r="B198" s="35"/>
      <c r="C198" s="35"/>
      <c r="D198" s="35"/>
      <c r="E198" s="35"/>
    </row>
    <row r="199">
      <c r="A199" s="40"/>
      <c r="B199" s="35"/>
      <c r="C199" s="35"/>
      <c r="D199" s="35"/>
      <c r="E199" s="35"/>
    </row>
    <row r="200">
      <c r="A200" s="40"/>
      <c r="B200" s="35"/>
      <c r="C200" s="35"/>
      <c r="D200" s="35"/>
      <c r="E200" s="35"/>
    </row>
    <row r="201">
      <c r="A201" s="40"/>
      <c r="B201" s="35"/>
      <c r="C201" s="35"/>
      <c r="D201" s="35"/>
      <c r="E201" s="35"/>
    </row>
    <row r="202">
      <c r="A202" s="40"/>
      <c r="B202" s="35"/>
      <c r="C202" s="35"/>
      <c r="D202" s="35"/>
      <c r="E202" s="35"/>
    </row>
    <row r="203">
      <c r="A203" s="40"/>
      <c r="B203" s="35"/>
      <c r="C203" s="35"/>
      <c r="D203" s="35"/>
      <c r="E203" s="35"/>
    </row>
    <row r="204">
      <c r="A204" s="40"/>
      <c r="B204" s="35"/>
      <c r="C204" s="35"/>
      <c r="D204" s="35"/>
      <c r="E204" s="35"/>
    </row>
    <row r="205">
      <c r="A205" s="40"/>
      <c r="B205" s="35"/>
      <c r="C205" s="35"/>
      <c r="D205" s="35"/>
      <c r="E205" s="35"/>
    </row>
    <row r="206">
      <c r="A206" s="40"/>
      <c r="B206" s="35"/>
      <c r="C206" s="35"/>
      <c r="D206" s="35"/>
      <c r="E206" s="35"/>
    </row>
    <row r="207">
      <c r="A207" s="40"/>
      <c r="B207" s="35"/>
      <c r="C207" s="35"/>
      <c r="D207" s="35"/>
      <c r="E207" s="35"/>
    </row>
    <row r="208">
      <c r="A208" s="40"/>
      <c r="B208" s="35"/>
      <c r="C208" s="35"/>
      <c r="D208" s="35"/>
      <c r="E208" s="35"/>
    </row>
    <row r="209">
      <c r="A209" s="40"/>
      <c r="B209" s="35"/>
      <c r="C209" s="35"/>
      <c r="D209" s="35"/>
      <c r="E209" s="35"/>
    </row>
    <row r="210">
      <c r="A210" s="40"/>
      <c r="B210" s="35"/>
      <c r="C210" s="35"/>
      <c r="D210" s="35"/>
      <c r="E210" s="35"/>
    </row>
    <row r="211">
      <c r="A211" s="40"/>
      <c r="B211" s="35"/>
      <c r="C211" s="35"/>
      <c r="D211" s="35"/>
      <c r="E211" s="35"/>
    </row>
    <row r="212">
      <c r="A212" s="40"/>
      <c r="B212" s="35"/>
      <c r="C212" s="35"/>
      <c r="D212" s="35"/>
      <c r="E212" s="35"/>
    </row>
    <row r="213">
      <c r="A213" s="40"/>
      <c r="B213" s="35"/>
      <c r="C213" s="35"/>
      <c r="D213" s="35"/>
      <c r="E213" s="35"/>
    </row>
    <row r="214">
      <c r="A214" s="40"/>
      <c r="B214" s="35"/>
      <c r="C214" s="35"/>
      <c r="D214" s="35"/>
      <c r="E214" s="35"/>
    </row>
    <row r="215">
      <c r="A215" s="40"/>
      <c r="B215" s="35"/>
      <c r="C215" s="35"/>
      <c r="D215" s="35"/>
      <c r="E215" s="35"/>
    </row>
    <row r="216">
      <c r="A216" s="40"/>
      <c r="B216" s="35"/>
      <c r="C216" s="35"/>
      <c r="D216" s="35"/>
      <c r="E216" s="35"/>
    </row>
    <row r="217">
      <c r="A217" s="40"/>
      <c r="B217" s="35"/>
      <c r="C217" s="35"/>
      <c r="D217" s="35"/>
      <c r="E217" s="35"/>
    </row>
    <row r="218">
      <c r="A218" s="40"/>
      <c r="B218" s="35"/>
      <c r="C218" s="35"/>
      <c r="D218" s="35"/>
      <c r="E218" s="35"/>
    </row>
    <row r="219">
      <c r="A219" s="40"/>
      <c r="B219" s="35"/>
      <c r="C219" s="35"/>
      <c r="D219" s="35"/>
      <c r="E219" s="35"/>
    </row>
    <row r="220">
      <c r="A220" s="40"/>
      <c r="B220" s="35"/>
      <c r="C220" s="35"/>
      <c r="D220" s="35"/>
      <c r="E220" s="35"/>
    </row>
    <row r="221">
      <c r="A221" s="40"/>
      <c r="B221" s="35"/>
      <c r="C221" s="35"/>
      <c r="D221" s="35"/>
      <c r="E221" s="35"/>
    </row>
    <row r="222">
      <c r="A222" s="40"/>
      <c r="B222" s="35"/>
      <c r="C222" s="35"/>
      <c r="D222" s="35"/>
      <c r="E222" s="35"/>
    </row>
    <row r="223">
      <c r="A223" s="40"/>
      <c r="B223" s="35"/>
      <c r="C223" s="35"/>
      <c r="D223" s="35"/>
      <c r="E223" s="35"/>
    </row>
    <row r="224">
      <c r="A224" s="40"/>
      <c r="B224" s="35"/>
      <c r="C224" s="35"/>
      <c r="D224" s="35"/>
      <c r="E224" s="35"/>
    </row>
    <row r="225">
      <c r="A225" s="40"/>
      <c r="B225" s="35"/>
      <c r="C225" s="35"/>
      <c r="D225" s="35"/>
      <c r="E225" s="35"/>
    </row>
    <row r="226">
      <c r="A226" s="40"/>
      <c r="B226" s="35"/>
      <c r="C226" s="35"/>
      <c r="D226" s="35"/>
      <c r="E226" s="35"/>
    </row>
    <row r="227">
      <c r="A227" s="40"/>
      <c r="B227" s="35"/>
      <c r="C227" s="35"/>
      <c r="D227" s="35"/>
      <c r="E227" s="35"/>
    </row>
    <row r="228">
      <c r="A228" s="40"/>
      <c r="B228" s="35"/>
      <c r="C228" s="35"/>
      <c r="D228" s="35"/>
      <c r="E228" s="35"/>
    </row>
    <row r="229">
      <c r="A229" s="40"/>
      <c r="B229" s="35"/>
      <c r="C229" s="35"/>
      <c r="D229" s="35"/>
      <c r="E229" s="35"/>
    </row>
    <row r="230">
      <c r="A230" s="40"/>
      <c r="B230" s="35"/>
      <c r="C230" s="35"/>
      <c r="D230" s="35"/>
      <c r="E230" s="35"/>
    </row>
    <row r="231">
      <c r="A231" s="40"/>
      <c r="B231" s="35"/>
      <c r="C231" s="35"/>
      <c r="D231" s="35"/>
      <c r="E231" s="35"/>
    </row>
    <row r="232">
      <c r="A232" s="40"/>
      <c r="B232" s="35"/>
      <c r="C232" s="35"/>
      <c r="D232" s="35"/>
      <c r="E232" s="35"/>
    </row>
    <row r="233">
      <c r="A233" s="40"/>
      <c r="B233" s="35"/>
      <c r="C233" s="35"/>
      <c r="D233" s="35"/>
      <c r="E233" s="35"/>
    </row>
    <row r="234">
      <c r="A234" s="40"/>
      <c r="B234" s="35"/>
      <c r="C234" s="35"/>
      <c r="D234" s="35"/>
      <c r="E234" s="35"/>
    </row>
    <row r="235">
      <c r="A235" s="40"/>
      <c r="B235" s="35"/>
      <c r="C235" s="35"/>
      <c r="D235" s="35"/>
      <c r="E235" s="35"/>
    </row>
    <row r="236">
      <c r="A236" s="40"/>
      <c r="B236" s="35"/>
      <c r="C236" s="35"/>
      <c r="D236" s="35"/>
      <c r="E236" s="35"/>
    </row>
    <row r="237">
      <c r="A237" s="40"/>
      <c r="B237" s="35"/>
      <c r="C237" s="35"/>
      <c r="D237" s="35"/>
      <c r="E237" s="35"/>
    </row>
    <row r="238">
      <c r="A238" s="40"/>
      <c r="B238" s="35"/>
      <c r="C238" s="35"/>
      <c r="D238" s="35"/>
      <c r="E238" s="35"/>
    </row>
    <row r="239">
      <c r="A239" s="40"/>
      <c r="B239" s="35"/>
      <c r="C239" s="35"/>
      <c r="D239" s="35"/>
      <c r="E239" s="35"/>
    </row>
    <row r="240">
      <c r="A240" s="40"/>
      <c r="B240" s="35"/>
      <c r="C240" s="35"/>
      <c r="D240" s="35"/>
      <c r="E240" s="35"/>
    </row>
    <row r="241">
      <c r="A241" s="40"/>
      <c r="B241" s="35"/>
      <c r="C241" s="35"/>
      <c r="D241" s="35"/>
      <c r="E241" s="35"/>
    </row>
    <row r="242">
      <c r="A242" s="40"/>
      <c r="B242" s="35"/>
      <c r="C242" s="35"/>
      <c r="D242" s="35"/>
      <c r="E242" s="35"/>
    </row>
    <row r="243">
      <c r="A243" s="40"/>
      <c r="B243" s="35"/>
      <c r="C243" s="35"/>
      <c r="D243" s="35"/>
      <c r="E243" s="35"/>
    </row>
    <row r="244">
      <c r="A244" s="40"/>
      <c r="B244" s="35"/>
      <c r="C244" s="35"/>
      <c r="D244" s="35"/>
      <c r="E244" s="35"/>
    </row>
    <row r="245">
      <c r="A245" s="40"/>
      <c r="B245" s="35"/>
      <c r="C245" s="35"/>
      <c r="D245" s="35"/>
      <c r="E245" s="35"/>
    </row>
    <row r="246">
      <c r="A246" s="40"/>
      <c r="B246" s="35"/>
      <c r="C246" s="35"/>
      <c r="D246" s="35"/>
      <c r="E246" s="35"/>
    </row>
    <row r="247">
      <c r="A247" s="40"/>
      <c r="B247" s="35"/>
      <c r="C247" s="35"/>
      <c r="D247" s="35"/>
      <c r="E247" s="35"/>
    </row>
    <row r="248">
      <c r="A248" s="40"/>
      <c r="B248" s="35"/>
      <c r="C248" s="35"/>
      <c r="D248" s="35"/>
      <c r="E248" s="35"/>
    </row>
    <row r="249">
      <c r="A249" s="40"/>
      <c r="B249" s="35"/>
      <c r="C249" s="35"/>
      <c r="D249" s="35"/>
      <c r="E249" s="35"/>
    </row>
    <row r="250">
      <c r="A250" s="40"/>
      <c r="B250" s="35"/>
      <c r="C250" s="35"/>
      <c r="D250" s="35"/>
      <c r="E250" s="35"/>
    </row>
    <row r="251">
      <c r="A251" s="40"/>
      <c r="B251" s="35"/>
      <c r="C251" s="35"/>
      <c r="D251" s="35"/>
      <c r="E251" s="35"/>
    </row>
    <row r="252">
      <c r="A252" s="40"/>
      <c r="B252" s="35"/>
      <c r="C252" s="35"/>
      <c r="D252" s="35"/>
      <c r="E252" s="35"/>
    </row>
    <row r="253">
      <c r="A253" s="40"/>
      <c r="B253" s="35"/>
      <c r="C253" s="35"/>
      <c r="D253" s="35"/>
      <c r="E253" s="35"/>
    </row>
    <row r="254">
      <c r="A254" s="40"/>
      <c r="B254" s="35"/>
      <c r="C254" s="35"/>
      <c r="D254" s="35"/>
      <c r="E254" s="35"/>
    </row>
    <row r="255">
      <c r="A255" s="40"/>
      <c r="B255" s="35"/>
      <c r="C255" s="35"/>
      <c r="D255" s="35"/>
      <c r="E255" s="35"/>
    </row>
    <row r="256">
      <c r="A256" s="40"/>
      <c r="B256" s="35"/>
      <c r="C256" s="35"/>
      <c r="D256" s="35"/>
      <c r="E256" s="35"/>
    </row>
    <row r="257">
      <c r="A257" s="40"/>
      <c r="B257" s="35"/>
      <c r="C257" s="35"/>
      <c r="D257" s="35"/>
      <c r="E257" s="35"/>
    </row>
    <row r="258">
      <c r="A258" s="40"/>
      <c r="B258" s="35"/>
      <c r="C258" s="35"/>
      <c r="D258" s="35"/>
      <c r="E258" s="35"/>
    </row>
    <row r="259">
      <c r="A259" s="40"/>
      <c r="B259" s="35"/>
      <c r="C259" s="35"/>
      <c r="D259" s="35"/>
      <c r="E259" s="35"/>
    </row>
    <row r="260">
      <c r="A260" s="40"/>
      <c r="B260" s="35"/>
      <c r="C260" s="35"/>
      <c r="D260" s="35"/>
      <c r="E260" s="35"/>
    </row>
    <row r="261">
      <c r="A261" s="40"/>
      <c r="B261" s="35"/>
      <c r="C261" s="35"/>
      <c r="D261" s="35"/>
      <c r="E261" s="35"/>
    </row>
    <row r="262">
      <c r="A262" s="40"/>
      <c r="B262" s="35"/>
      <c r="C262" s="35"/>
      <c r="D262" s="35"/>
      <c r="E262" s="35"/>
    </row>
    <row r="263">
      <c r="A263" s="40"/>
      <c r="B263" s="35"/>
      <c r="C263" s="35"/>
      <c r="D263" s="35"/>
      <c r="E263" s="35"/>
    </row>
    <row r="264">
      <c r="A264" s="40"/>
      <c r="B264" s="35"/>
      <c r="C264" s="35"/>
      <c r="D264" s="35"/>
      <c r="E264" s="35"/>
    </row>
    <row r="265">
      <c r="A265" s="40"/>
      <c r="B265" s="35"/>
      <c r="C265" s="35"/>
      <c r="D265" s="35"/>
      <c r="E265" s="35"/>
    </row>
    <row r="266">
      <c r="A266" s="40"/>
      <c r="B266" s="35"/>
      <c r="C266" s="35"/>
      <c r="D266" s="35"/>
      <c r="E266" s="35"/>
    </row>
    <row r="267">
      <c r="A267" s="40"/>
      <c r="B267" s="35"/>
      <c r="C267" s="35"/>
      <c r="D267" s="35"/>
      <c r="E267" s="35"/>
    </row>
    <row r="268">
      <c r="A268" s="40"/>
      <c r="B268" s="35"/>
      <c r="C268" s="35"/>
      <c r="D268" s="35"/>
      <c r="E268" s="35"/>
    </row>
    <row r="269">
      <c r="A269" s="40"/>
      <c r="B269" s="35"/>
      <c r="C269" s="35"/>
      <c r="D269" s="35"/>
      <c r="E269" s="35"/>
    </row>
    <row r="270">
      <c r="A270" s="40"/>
      <c r="B270" s="35"/>
      <c r="C270" s="35"/>
      <c r="D270" s="35"/>
      <c r="E270" s="35"/>
    </row>
    <row r="271">
      <c r="A271" s="40"/>
      <c r="B271" s="35"/>
      <c r="C271" s="35"/>
      <c r="D271" s="35"/>
      <c r="E271" s="35"/>
    </row>
    <row r="272">
      <c r="A272" s="40"/>
      <c r="B272" s="35"/>
      <c r="C272" s="35"/>
      <c r="D272" s="35"/>
      <c r="E272" s="35"/>
    </row>
    <row r="273">
      <c r="A273" s="40"/>
      <c r="B273" s="35"/>
      <c r="C273" s="35"/>
      <c r="D273" s="35"/>
      <c r="E273" s="35"/>
    </row>
    <row r="274">
      <c r="A274" s="40"/>
      <c r="B274" s="35"/>
      <c r="C274" s="35"/>
      <c r="D274" s="35"/>
      <c r="E274" s="35"/>
    </row>
    <row r="275">
      <c r="A275" s="40"/>
      <c r="B275" s="35"/>
      <c r="C275" s="35"/>
      <c r="D275" s="35"/>
      <c r="E275" s="35"/>
    </row>
    <row r="276">
      <c r="A276" s="40"/>
      <c r="B276" s="35"/>
      <c r="C276" s="35"/>
      <c r="D276" s="35"/>
      <c r="E276" s="35"/>
    </row>
    <row r="277">
      <c r="A277" s="40"/>
      <c r="B277" s="35"/>
      <c r="C277" s="35"/>
      <c r="D277" s="35"/>
      <c r="E277" s="35"/>
    </row>
    <row r="278">
      <c r="A278" s="40"/>
      <c r="B278" s="35"/>
      <c r="C278" s="35"/>
      <c r="D278" s="35"/>
      <c r="E278" s="35"/>
    </row>
    <row r="279">
      <c r="A279" s="40"/>
      <c r="B279" s="35"/>
      <c r="C279" s="35"/>
      <c r="D279" s="35"/>
      <c r="E279" s="35"/>
    </row>
    <row r="280">
      <c r="A280" s="40"/>
      <c r="B280" s="35"/>
      <c r="C280" s="35"/>
      <c r="D280" s="35"/>
      <c r="E280" s="35"/>
    </row>
    <row r="281">
      <c r="A281" s="40"/>
      <c r="B281" s="35"/>
      <c r="C281" s="35"/>
      <c r="D281" s="35"/>
      <c r="E281" s="35"/>
    </row>
    <row r="282">
      <c r="A282" s="40"/>
      <c r="B282" s="35"/>
      <c r="C282" s="35"/>
      <c r="D282" s="35"/>
      <c r="E282" s="35"/>
    </row>
    <row r="283">
      <c r="A283" s="40"/>
      <c r="B283" s="35"/>
      <c r="C283" s="35"/>
      <c r="D283" s="35"/>
      <c r="E283" s="35"/>
    </row>
    <row r="284">
      <c r="A284" s="40"/>
      <c r="B284" s="35"/>
      <c r="C284" s="35"/>
      <c r="D284" s="35"/>
      <c r="E284" s="35"/>
    </row>
    <row r="285">
      <c r="A285" s="40"/>
      <c r="B285" s="35"/>
      <c r="C285" s="35"/>
      <c r="D285" s="35"/>
      <c r="E285" s="35"/>
    </row>
    <row r="286">
      <c r="A286" s="40"/>
      <c r="B286" s="35"/>
      <c r="C286" s="35"/>
      <c r="D286" s="35"/>
      <c r="E286" s="35"/>
    </row>
    <row r="287">
      <c r="A287" s="40"/>
      <c r="B287" s="35"/>
      <c r="C287" s="35"/>
      <c r="D287" s="35"/>
      <c r="E287" s="35"/>
    </row>
    <row r="288">
      <c r="A288" s="40"/>
      <c r="B288" s="35"/>
      <c r="C288" s="35"/>
      <c r="D288" s="35"/>
      <c r="E288" s="35"/>
    </row>
    <row r="289">
      <c r="A289" s="40"/>
      <c r="B289" s="35"/>
      <c r="C289" s="35"/>
      <c r="D289" s="35"/>
      <c r="E289" s="35"/>
    </row>
    <row r="290">
      <c r="A290" s="40"/>
      <c r="B290" s="35"/>
      <c r="C290" s="35"/>
      <c r="D290" s="35"/>
      <c r="E290" s="35"/>
    </row>
    <row r="291">
      <c r="A291" s="40"/>
      <c r="B291" s="35"/>
      <c r="C291" s="35"/>
      <c r="D291" s="35"/>
      <c r="E291" s="35"/>
    </row>
    <row r="292">
      <c r="A292" s="40"/>
      <c r="B292" s="35"/>
      <c r="C292" s="35"/>
      <c r="D292" s="35"/>
      <c r="E292" s="35"/>
    </row>
    <row r="293">
      <c r="A293" s="40"/>
      <c r="B293" s="35"/>
      <c r="C293" s="35"/>
      <c r="D293" s="35"/>
      <c r="E293" s="35"/>
    </row>
    <row r="294">
      <c r="A294" s="40"/>
      <c r="B294" s="35"/>
      <c r="C294" s="35"/>
      <c r="D294" s="35"/>
      <c r="E294" s="35"/>
    </row>
    <row r="295">
      <c r="A295" s="40"/>
      <c r="B295" s="35"/>
      <c r="C295" s="35"/>
      <c r="D295" s="35"/>
      <c r="E295" s="35"/>
    </row>
    <row r="296">
      <c r="A296" s="40"/>
      <c r="B296" s="35"/>
      <c r="C296" s="35"/>
      <c r="D296" s="35"/>
      <c r="E296" s="35"/>
    </row>
    <row r="297">
      <c r="A297" s="40"/>
      <c r="B297" s="35"/>
      <c r="C297" s="35"/>
      <c r="D297" s="35"/>
      <c r="E297" s="35"/>
    </row>
    <row r="298">
      <c r="A298" s="40"/>
      <c r="B298" s="35"/>
      <c r="C298" s="35"/>
      <c r="D298" s="35"/>
      <c r="E298" s="35"/>
    </row>
    <row r="299">
      <c r="A299" s="40"/>
      <c r="B299" s="35"/>
      <c r="C299" s="35"/>
      <c r="D299" s="35"/>
      <c r="E299" s="35"/>
    </row>
    <row r="300">
      <c r="A300" s="40"/>
      <c r="B300" s="35"/>
      <c r="C300" s="35"/>
      <c r="D300" s="35"/>
      <c r="E300" s="35"/>
    </row>
    <row r="301">
      <c r="A301" s="40"/>
      <c r="B301" s="35"/>
      <c r="C301" s="35"/>
      <c r="D301" s="35"/>
      <c r="E301" s="35"/>
    </row>
    <row r="302">
      <c r="A302" s="40"/>
      <c r="B302" s="35"/>
      <c r="C302" s="35"/>
      <c r="D302" s="35"/>
      <c r="E302" s="35"/>
    </row>
    <row r="303">
      <c r="A303" s="40"/>
      <c r="B303" s="35"/>
      <c r="C303" s="35"/>
      <c r="D303" s="35"/>
      <c r="E303" s="35"/>
    </row>
    <row r="304">
      <c r="A304" s="40"/>
      <c r="B304" s="35"/>
      <c r="C304" s="35"/>
      <c r="D304" s="35"/>
      <c r="E304" s="35"/>
    </row>
    <row r="305">
      <c r="A305" s="40"/>
      <c r="B305" s="35"/>
      <c r="C305" s="35"/>
      <c r="D305" s="35"/>
      <c r="E305" s="35"/>
    </row>
    <row r="306">
      <c r="A306" s="40"/>
      <c r="B306" s="35"/>
      <c r="C306" s="35"/>
      <c r="D306" s="35"/>
      <c r="E306" s="35"/>
    </row>
    <row r="307">
      <c r="A307" s="40"/>
      <c r="B307" s="35"/>
      <c r="C307" s="35"/>
      <c r="D307" s="35"/>
      <c r="E307" s="35"/>
    </row>
    <row r="308">
      <c r="A308" s="40"/>
      <c r="B308" s="35"/>
      <c r="C308" s="35"/>
      <c r="D308" s="35"/>
      <c r="E308" s="35"/>
    </row>
    <row r="309">
      <c r="A309" s="40"/>
      <c r="B309" s="35"/>
      <c r="C309" s="35"/>
      <c r="D309" s="35"/>
      <c r="E309" s="35"/>
    </row>
    <row r="310">
      <c r="A310" s="40"/>
      <c r="B310" s="35"/>
      <c r="C310" s="35"/>
      <c r="D310" s="35"/>
      <c r="E310" s="35"/>
    </row>
    <row r="311">
      <c r="A311" s="40"/>
      <c r="B311" s="35"/>
      <c r="C311" s="35"/>
      <c r="D311" s="35"/>
      <c r="E311" s="35"/>
    </row>
    <row r="312">
      <c r="A312" s="40"/>
      <c r="B312" s="35"/>
      <c r="C312" s="35"/>
      <c r="D312" s="35"/>
      <c r="E312" s="35"/>
    </row>
    <row r="313">
      <c r="A313" s="40"/>
      <c r="B313" s="35"/>
      <c r="C313" s="35"/>
      <c r="D313" s="35"/>
      <c r="E313" s="35"/>
    </row>
    <row r="314">
      <c r="A314" s="40"/>
      <c r="B314" s="35"/>
      <c r="C314" s="35"/>
      <c r="D314" s="35"/>
      <c r="E314" s="35"/>
    </row>
    <row r="315">
      <c r="A315" s="40"/>
      <c r="B315" s="35"/>
      <c r="C315" s="35"/>
      <c r="D315" s="35"/>
      <c r="E315" s="35"/>
    </row>
    <row r="316">
      <c r="A316" s="40"/>
      <c r="B316" s="35"/>
      <c r="C316" s="35"/>
      <c r="D316" s="35"/>
      <c r="E316" s="35"/>
    </row>
    <row r="317">
      <c r="A317" s="40"/>
      <c r="B317" s="35"/>
      <c r="C317" s="35"/>
      <c r="D317" s="35"/>
      <c r="E317" s="35"/>
    </row>
    <row r="318">
      <c r="A318" s="40"/>
      <c r="B318" s="35"/>
      <c r="C318" s="35"/>
      <c r="D318" s="35"/>
      <c r="E318" s="35"/>
    </row>
    <row r="319">
      <c r="A319" s="40"/>
      <c r="B319" s="35"/>
      <c r="C319" s="35"/>
      <c r="D319" s="35"/>
      <c r="E319" s="35"/>
    </row>
    <row r="320">
      <c r="A320" s="40"/>
      <c r="B320" s="35"/>
      <c r="C320" s="35"/>
      <c r="D320" s="35"/>
      <c r="E320" s="35"/>
    </row>
    <row r="321">
      <c r="A321" s="40"/>
      <c r="B321" s="35"/>
      <c r="C321" s="35"/>
      <c r="D321" s="35"/>
      <c r="E321" s="35"/>
    </row>
    <row r="322">
      <c r="A322" s="40"/>
      <c r="B322" s="35"/>
      <c r="C322" s="35"/>
      <c r="D322" s="35"/>
      <c r="E322" s="35"/>
    </row>
    <row r="323">
      <c r="A323" s="40"/>
      <c r="B323" s="35"/>
      <c r="C323" s="35"/>
      <c r="D323" s="35"/>
      <c r="E323" s="35"/>
    </row>
    <row r="324">
      <c r="A324" s="40"/>
      <c r="B324" s="35"/>
      <c r="C324" s="35"/>
      <c r="D324" s="35"/>
      <c r="E324" s="35"/>
    </row>
    <row r="325">
      <c r="A325" s="40"/>
      <c r="B325" s="35"/>
      <c r="C325" s="35"/>
      <c r="D325" s="35"/>
      <c r="E325" s="35"/>
    </row>
    <row r="326">
      <c r="A326" s="40"/>
      <c r="B326" s="35"/>
      <c r="C326" s="35"/>
      <c r="D326" s="35"/>
      <c r="E326" s="35"/>
    </row>
    <row r="327">
      <c r="A327" s="40"/>
      <c r="B327" s="35"/>
      <c r="C327" s="35"/>
      <c r="D327" s="35"/>
      <c r="E327" s="35"/>
    </row>
    <row r="328">
      <c r="A328" s="40"/>
      <c r="B328" s="35"/>
      <c r="C328" s="35"/>
      <c r="D328" s="35"/>
      <c r="E328" s="35"/>
    </row>
    <row r="329">
      <c r="A329" s="40"/>
      <c r="B329" s="35"/>
      <c r="C329" s="35"/>
      <c r="D329" s="35"/>
      <c r="E329" s="35"/>
    </row>
    <row r="330">
      <c r="A330" s="40"/>
      <c r="B330" s="35"/>
      <c r="C330" s="35"/>
      <c r="D330" s="35"/>
      <c r="E330" s="35"/>
    </row>
    <row r="331">
      <c r="A331" s="40"/>
      <c r="B331" s="35"/>
      <c r="C331" s="35"/>
      <c r="D331" s="35"/>
      <c r="E331" s="35"/>
    </row>
    <row r="332">
      <c r="A332" s="40"/>
      <c r="B332" s="35"/>
      <c r="C332" s="35"/>
      <c r="D332" s="35"/>
      <c r="E332" s="35"/>
    </row>
    <row r="333">
      <c r="A333" s="40"/>
      <c r="B333" s="35"/>
      <c r="C333" s="35"/>
      <c r="D333" s="35"/>
      <c r="E333" s="35"/>
    </row>
    <row r="334">
      <c r="A334" s="40"/>
      <c r="B334" s="35"/>
      <c r="C334" s="35"/>
      <c r="D334" s="35"/>
      <c r="E334" s="35"/>
    </row>
    <row r="335">
      <c r="A335" s="40"/>
      <c r="B335" s="35"/>
      <c r="C335" s="35"/>
      <c r="D335" s="35"/>
      <c r="E335" s="35"/>
    </row>
    <row r="336">
      <c r="A336" s="40"/>
      <c r="B336" s="35"/>
      <c r="C336" s="35"/>
      <c r="D336" s="35"/>
      <c r="E336" s="35"/>
    </row>
    <row r="337">
      <c r="A337" s="40"/>
      <c r="B337" s="35"/>
      <c r="C337" s="35"/>
      <c r="D337" s="35"/>
      <c r="E337" s="35"/>
    </row>
    <row r="338">
      <c r="A338" s="40"/>
      <c r="B338" s="35"/>
      <c r="C338" s="35"/>
      <c r="D338" s="35"/>
      <c r="E338" s="35"/>
    </row>
    <row r="339">
      <c r="A339" s="40"/>
      <c r="B339" s="35"/>
      <c r="C339" s="35"/>
      <c r="D339" s="35"/>
      <c r="E339" s="35"/>
    </row>
    <row r="340">
      <c r="A340" s="40"/>
      <c r="B340" s="35"/>
      <c r="C340" s="35"/>
      <c r="D340" s="35"/>
      <c r="E340" s="35"/>
    </row>
    <row r="341">
      <c r="A341" s="40"/>
      <c r="B341" s="35"/>
      <c r="C341" s="35"/>
      <c r="D341" s="35"/>
      <c r="E341" s="35"/>
    </row>
    <row r="342">
      <c r="A342" s="40"/>
      <c r="B342" s="35"/>
      <c r="C342" s="35"/>
      <c r="D342" s="35"/>
      <c r="E342" s="35"/>
    </row>
    <row r="343">
      <c r="A343" s="40"/>
      <c r="B343" s="35"/>
      <c r="C343" s="35"/>
      <c r="D343" s="35"/>
      <c r="E343" s="35"/>
    </row>
    <row r="344">
      <c r="A344" s="40"/>
      <c r="B344" s="35"/>
      <c r="C344" s="35"/>
      <c r="D344" s="35"/>
      <c r="E344" s="35"/>
    </row>
    <row r="345">
      <c r="A345" s="40"/>
      <c r="B345" s="35"/>
      <c r="C345" s="35"/>
      <c r="D345" s="35"/>
      <c r="E345" s="35"/>
    </row>
    <row r="346">
      <c r="A346" s="40"/>
      <c r="B346" s="35"/>
      <c r="C346" s="35"/>
      <c r="D346" s="35"/>
      <c r="E346" s="35"/>
    </row>
    <row r="347">
      <c r="A347" s="40"/>
      <c r="B347" s="35"/>
      <c r="C347" s="35"/>
      <c r="D347" s="35"/>
      <c r="E347" s="35"/>
    </row>
    <row r="348">
      <c r="A348" s="40"/>
      <c r="B348" s="35"/>
      <c r="C348" s="35"/>
      <c r="D348" s="35"/>
      <c r="E348" s="35"/>
    </row>
    <row r="349">
      <c r="A349" s="40"/>
      <c r="B349" s="35"/>
      <c r="C349" s="35"/>
      <c r="D349" s="35"/>
      <c r="E349" s="35"/>
    </row>
    <row r="350">
      <c r="A350" s="40"/>
      <c r="B350" s="35"/>
      <c r="C350" s="35"/>
      <c r="D350" s="35"/>
      <c r="E350" s="35"/>
    </row>
    <row r="351">
      <c r="A351" s="40"/>
      <c r="B351" s="35"/>
      <c r="C351" s="35"/>
      <c r="D351" s="35"/>
      <c r="E351" s="35"/>
    </row>
    <row r="352">
      <c r="A352" s="40"/>
      <c r="B352" s="35"/>
      <c r="C352" s="35"/>
      <c r="D352" s="35"/>
      <c r="E352" s="35"/>
    </row>
    <row r="353">
      <c r="A353" s="40"/>
      <c r="B353" s="35"/>
      <c r="C353" s="35"/>
      <c r="D353" s="35"/>
      <c r="E353" s="35"/>
    </row>
    <row r="354">
      <c r="A354" s="40"/>
      <c r="B354" s="35"/>
      <c r="C354" s="35"/>
      <c r="D354" s="35"/>
      <c r="E354" s="35"/>
    </row>
    <row r="355">
      <c r="A355" s="40"/>
      <c r="B355" s="35"/>
      <c r="C355" s="35"/>
      <c r="D355" s="35"/>
      <c r="E355" s="35"/>
    </row>
    <row r="356">
      <c r="A356" s="40"/>
      <c r="B356" s="35"/>
      <c r="C356" s="35"/>
      <c r="D356" s="35"/>
      <c r="E356" s="35"/>
    </row>
    <row r="357">
      <c r="A357" s="40"/>
      <c r="B357" s="35"/>
      <c r="C357" s="35"/>
      <c r="D357" s="35"/>
      <c r="E357" s="35"/>
    </row>
    <row r="358">
      <c r="A358" s="40"/>
      <c r="B358" s="35"/>
      <c r="C358" s="35"/>
      <c r="D358" s="35"/>
      <c r="E358" s="35"/>
    </row>
    <row r="359">
      <c r="A359" s="40"/>
      <c r="B359" s="35"/>
      <c r="C359" s="35"/>
      <c r="D359" s="35"/>
      <c r="E359" s="35"/>
    </row>
    <row r="360">
      <c r="A360" s="40"/>
      <c r="B360" s="35"/>
      <c r="C360" s="35"/>
      <c r="D360" s="35"/>
      <c r="E360" s="35"/>
    </row>
    <row r="361">
      <c r="A361" s="40"/>
      <c r="B361" s="35"/>
      <c r="C361" s="35"/>
      <c r="D361" s="35"/>
      <c r="E361" s="35"/>
    </row>
    <row r="362">
      <c r="A362" s="40"/>
      <c r="B362" s="35"/>
      <c r="C362" s="35"/>
      <c r="D362" s="35"/>
      <c r="E362" s="35"/>
    </row>
    <row r="363">
      <c r="A363" s="40"/>
      <c r="B363" s="35"/>
      <c r="C363" s="35"/>
      <c r="D363" s="35"/>
      <c r="E363" s="35"/>
    </row>
    <row r="364">
      <c r="A364" s="40"/>
      <c r="B364" s="35"/>
      <c r="C364" s="35"/>
      <c r="D364" s="35"/>
      <c r="E364" s="35"/>
    </row>
    <row r="365">
      <c r="A365" s="40"/>
      <c r="B365" s="35"/>
      <c r="C365" s="35"/>
      <c r="D365" s="35"/>
      <c r="E365" s="35"/>
    </row>
    <row r="366">
      <c r="A366" s="40"/>
      <c r="B366" s="35"/>
      <c r="C366" s="35"/>
      <c r="D366" s="35"/>
      <c r="E366" s="35"/>
    </row>
    <row r="367">
      <c r="A367" s="40"/>
      <c r="B367" s="35"/>
      <c r="C367" s="35"/>
      <c r="D367" s="35"/>
      <c r="E367" s="35"/>
    </row>
    <row r="368">
      <c r="A368" s="40"/>
      <c r="B368" s="35"/>
      <c r="C368" s="35"/>
      <c r="D368" s="35"/>
      <c r="E368" s="35"/>
    </row>
    <row r="369">
      <c r="A369" s="40"/>
      <c r="B369" s="35"/>
      <c r="C369" s="35"/>
      <c r="D369" s="35"/>
      <c r="E369" s="35"/>
    </row>
    <row r="370">
      <c r="A370" s="40"/>
      <c r="B370" s="35"/>
      <c r="C370" s="35"/>
      <c r="D370" s="35"/>
      <c r="E370" s="35"/>
    </row>
    <row r="371">
      <c r="A371" s="40"/>
      <c r="B371" s="35"/>
      <c r="C371" s="35"/>
      <c r="D371" s="35"/>
      <c r="E371" s="35"/>
    </row>
    <row r="372">
      <c r="A372" s="40"/>
      <c r="B372" s="35"/>
      <c r="C372" s="35"/>
      <c r="D372" s="35"/>
      <c r="E372" s="35"/>
    </row>
    <row r="373">
      <c r="A373" s="40"/>
      <c r="B373" s="35"/>
      <c r="C373" s="35"/>
      <c r="D373" s="35"/>
      <c r="E373" s="35"/>
    </row>
    <row r="374">
      <c r="A374" s="40"/>
      <c r="B374" s="35"/>
      <c r="C374" s="35"/>
      <c r="D374" s="35"/>
      <c r="E374" s="35"/>
    </row>
    <row r="375">
      <c r="A375" s="40"/>
      <c r="B375" s="35"/>
      <c r="C375" s="35"/>
      <c r="D375" s="35"/>
      <c r="E375" s="35"/>
    </row>
    <row r="376">
      <c r="A376" s="40"/>
      <c r="B376" s="35"/>
      <c r="C376" s="35"/>
      <c r="D376" s="35"/>
      <c r="E376" s="35"/>
    </row>
    <row r="377">
      <c r="A377" s="40"/>
      <c r="B377" s="35"/>
      <c r="C377" s="35"/>
      <c r="D377" s="35"/>
      <c r="E377" s="35"/>
    </row>
    <row r="378">
      <c r="A378" s="40"/>
      <c r="B378" s="35"/>
      <c r="C378" s="35"/>
      <c r="D378" s="35"/>
      <c r="E378" s="35"/>
    </row>
    <row r="379">
      <c r="A379" s="40"/>
      <c r="B379" s="35"/>
      <c r="C379" s="35"/>
      <c r="D379" s="35"/>
      <c r="E379" s="35"/>
    </row>
    <row r="380">
      <c r="A380" s="40"/>
      <c r="B380" s="35"/>
      <c r="C380" s="35"/>
      <c r="D380" s="35"/>
      <c r="E380" s="35"/>
    </row>
    <row r="381">
      <c r="A381" s="40"/>
      <c r="B381" s="35"/>
      <c r="C381" s="35"/>
      <c r="D381" s="35"/>
      <c r="E381" s="35"/>
    </row>
    <row r="382">
      <c r="A382" s="40"/>
      <c r="B382" s="35"/>
      <c r="C382" s="35"/>
      <c r="D382" s="35"/>
      <c r="E382" s="35"/>
    </row>
    <row r="383">
      <c r="A383" s="40"/>
      <c r="B383" s="35"/>
      <c r="C383" s="35"/>
      <c r="D383" s="35"/>
      <c r="E383" s="35"/>
    </row>
    <row r="384">
      <c r="A384" s="40"/>
      <c r="B384" s="35"/>
      <c r="C384" s="35"/>
      <c r="D384" s="35"/>
      <c r="E384" s="35"/>
    </row>
    <row r="385">
      <c r="A385" s="40"/>
      <c r="B385" s="35"/>
      <c r="C385" s="35"/>
      <c r="D385" s="35"/>
      <c r="E385" s="35"/>
    </row>
    <row r="386">
      <c r="A386" s="40"/>
      <c r="B386" s="35"/>
      <c r="C386" s="35"/>
      <c r="D386" s="35"/>
      <c r="E386" s="35"/>
    </row>
    <row r="387">
      <c r="A387" s="40"/>
      <c r="B387" s="35"/>
      <c r="C387" s="35"/>
      <c r="D387" s="35"/>
      <c r="E387" s="35"/>
    </row>
    <row r="388">
      <c r="A388" s="40"/>
      <c r="B388" s="35"/>
      <c r="C388" s="35"/>
      <c r="D388" s="35"/>
      <c r="E388" s="35"/>
    </row>
    <row r="389">
      <c r="A389" s="40"/>
      <c r="B389" s="35"/>
      <c r="C389" s="35"/>
      <c r="D389" s="35"/>
      <c r="E389" s="35"/>
    </row>
    <row r="390">
      <c r="A390" s="40"/>
      <c r="B390" s="35"/>
      <c r="C390" s="35"/>
      <c r="D390" s="35"/>
      <c r="E390" s="35"/>
    </row>
    <row r="391">
      <c r="A391" s="40"/>
      <c r="B391" s="35"/>
      <c r="C391" s="35"/>
      <c r="D391" s="35"/>
      <c r="E391" s="35"/>
    </row>
    <row r="392">
      <c r="A392" s="40"/>
      <c r="B392" s="35"/>
      <c r="C392" s="35"/>
      <c r="D392" s="35"/>
      <c r="E392" s="35"/>
    </row>
    <row r="393">
      <c r="A393" s="40"/>
      <c r="B393" s="35"/>
      <c r="C393" s="35"/>
      <c r="D393" s="35"/>
      <c r="E393" s="35"/>
    </row>
    <row r="394">
      <c r="A394" s="40"/>
      <c r="B394" s="35"/>
      <c r="C394" s="35"/>
      <c r="D394" s="35"/>
      <c r="E394" s="35"/>
    </row>
    <row r="395">
      <c r="A395" s="40"/>
      <c r="B395" s="35"/>
      <c r="C395" s="35"/>
      <c r="D395" s="35"/>
      <c r="E395" s="35"/>
    </row>
    <row r="396">
      <c r="A396" s="40"/>
      <c r="B396" s="35"/>
      <c r="C396" s="35"/>
      <c r="D396" s="35"/>
      <c r="E396" s="35"/>
    </row>
    <row r="397">
      <c r="A397" s="40"/>
      <c r="B397" s="35"/>
      <c r="C397" s="35"/>
      <c r="D397" s="35"/>
      <c r="E397" s="35"/>
    </row>
    <row r="398">
      <c r="A398" s="40"/>
      <c r="B398" s="35"/>
      <c r="C398" s="35"/>
      <c r="D398" s="35"/>
      <c r="E398" s="35"/>
    </row>
    <row r="399">
      <c r="A399" s="40"/>
      <c r="B399" s="35"/>
      <c r="C399" s="35"/>
      <c r="D399" s="35"/>
      <c r="E399" s="35"/>
    </row>
    <row r="400">
      <c r="A400" s="40"/>
      <c r="B400" s="35"/>
      <c r="C400" s="35"/>
      <c r="D400" s="35"/>
      <c r="E400" s="35"/>
    </row>
    <row r="401">
      <c r="A401" s="40"/>
      <c r="B401" s="35"/>
      <c r="C401" s="35"/>
      <c r="D401" s="35"/>
      <c r="E401" s="35"/>
    </row>
    <row r="402">
      <c r="A402" s="40"/>
      <c r="B402" s="35"/>
      <c r="C402" s="35"/>
      <c r="D402" s="35"/>
      <c r="E402" s="35"/>
    </row>
    <row r="403">
      <c r="A403" s="40"/>
      <c r="B403" s="35"/>
      <c r="C403" s="35"/>
      <c r="D403" s="35"/>
      <c r="E403" s="35"/>
    </row>
    <row r="404">
      <c r="A404" s="40"/>
      <c r="B404" s="35"/>
      <c r="C404" s="35"/>
      <c r="D404" s="35"/>
      <c r="E404" s="35"/>
    </row>
    <row r="405">
      <c r="A405" s="40"/>
      <c r="B405" s="35"/>
      <c r="C405" s="35"/>
      <c r="D405" s="35"/>
      <c r="E405" s="35"/>
    </row>
    <row r="406">
      <c r="A406" s="40"/>
      <c r="B406" s="35"/>
      <c r="C406" s="35"/>
      <c r="D406" s="35"/>
      <c r="E406" s="35"/>
    </row>
    <row r="407">
      <c r="A407" s="40"/>
      <c r="B407" s="35"/>
      <c r="C407" s="35"/>
      <c r="D407" s="35"/>
      <c r="E407" s="35"/>
    </row>
    <row r="408">
      <c r="A408" s="40"/>
      <c r="B408" s="35"/>
      <c r="C408" s="35"/>
      <c r="D408" s="35"/>
      <c r="E408" s="35"/>
    </row>
    <row r="409">
      <c r="A409" s="40"/>
      <c r="B409" s="35"/>
      <c r="C409" s="35"/>
      <c r="D409" s="35"/>
      <c r="E409" s="35"/>
    </row>
    <row r="410">
      <c r="A410" s="40"/>
      <c r="B410" s="35"/>
      <c r="C410" s="35"/>
      <c r="D410" s="35"/>
      <c r="E410" s="35"/>
    </row>
    <row r="411">
      <c r="A411" s="40"/>
      <c r="B411" s="35"/>
      <c r="C411" s="35"/>
      <c r="D411" s="35"/>
      <c r="E411" s="35"/>
    </row>
    <row r="412">
      <c r="A412" s="40"/>
      <c r="B412" s="35"/>
      <c r="C412" s="35"/>
      <c r="D412" s="35"/>
      <c r="E412" s="35"/>
    </row>
    <row r="413">
      <c r="A413" s="40"/>
      <c r="B413" s="35"/>
      <c r="C413" s="35"/>
      <c r="D413" s="35"/>
      <c r="E413" s="35"/>
    </row>
    <row r="414">
      <c r="A414" s="40"/>
      <c r="B414" s="35"/>
      <c r="C414" s="35"/>
      <c r="D414" s="35"/>
      <c r="E414" s="35"/>
    </row>
    <row r="415">
      <c r="A415" s="40"/>
      <c r="B415" s="35"/>
      <c r="C415" s="35"/>
      <c r="D415" s="35"/>
      <c r="E415" s="35"/>
    </row>
    <row r="416">
      <c r="A416" s="40"/>
      <c r="B416" s="35"/>
      <c r="C416" s="35"/>
      <c r="D416" s="35"/>
      <c r="E416" s="35"/>
    </row>
    <row r="417">
      <c r="A417" s="40"/>
      <c r="B417" s="35"/>
      <c r="C417" s="35"/>
      <c r="D417" s="35"/>
      <c r="E417" s="35"/>
    </row>
    <row r="418">
      <c r="A418" s="40"/>
      <c r="B418" s="35"/>
      <c r="C418" s="35"/>
      <c r="D418" s="35"/>
      <c r="E418" s="35"/>
    </row>
    <row r="419">
      <c r="A419" s="40"/>
      <c r="B419" s="35"/>
      <c r="C419" s="35"/>
      <c r="D419" s="35"/>
      <c r="E419" s="35"/>
    </row>
    <row r="420">
      <c r="A420" s="40"/>
      <c r="B420" s="35"/>
      <c r="C420" s="35"/>
      <c r="D420" s="35"/>
      <c r="E420" s="35"/>
    </row>
    <row r="421">
      <c r="A421" s="40"/>
      <c r="B421" s="35"/>
      <c r="C421" s="35"/>
      <c r="D421" s="35"/>
      <c r="E421" s="35"/>
    </row>
    <row r="422">
      <c r="A422" s="40"/>
      <c r="B422" s="35"/>
      <c r="C422" s="35"/>
      <c r="D422" s="35"/>
      <c r="E422" s="35"/>
    </row>
    <row r="423">
      <c r="A423" s="40"/>
      <c r="B423" s="35"/>
      <c r="C423" s="35"/>
      <c r="D423" s="35"/>
      <c r="E423" s="35"/>
    </row>
    <row r="424">
      <c r="A424" s="40"/>
      <c r="B424" s="35"/>
      <c r="C424" s="35"/>
      <c r="D424" s="35"/>
      <c r="E424" s="35"/>
    </row>
    <row r="425">
      <c r="A425" s="40"/>
      <c r="B425" s="35"/>
      <c r="C425" s="35"/>
      <c r="D425" s="35"/>
      <c r="E425" s="35"/>
    </row>
    <row r="426">
      <c r="A426" s="40"/>
      <c r="B426" s="35"/>
      <c r="C426" s="35"/>
      <c r="D426" s="35"/>
      <c r="E426" s="35"/>
    </row>
    <row r="427">
      <c r="A427" s="40"/>
      <c r="B427" s="35"/>
      <c r="C427" s="35"/>
      <c r="D427" s="35"/>
      <c r="E427" s="35"/>
    </row>
    <row r="428">
      <c r="A428" s="40"/>
      <c r="B428" s="35"/>
      <c r="C428" s="35"/>
      <c r="D428" s="35"/>
      <c r="E428" s="35"/>
    </row>
    <row r="429">
      <c r="A429" s="40"/>
      <c r="B429" s="35"/>
      <c r="C429" s="35"/>
      <c r="D429" s="35"/>
      <c r="E429" s="35"/>
    </row>
    <row r="430">
      <c r="A430" s="40"/>
      <c r="B430" s="35"/>
      <c r="C430" s="35"/>
      <c r="D430" s="35"/>
      <c r="E430" s="35"/>
    </row>
    <row r="431">
      <c r="A431" s="40"/>
      <c r="B431" s="35"/>
      <c r="C431" s="35"/>
      <c r="D431" s="35"/>
      <c r="E431" s="35"/>
    </row>
    <row r="432">
      <c r="A432" s="40"/>
      <c r="B432" s="35"/>
      <c r="C432" s="35"/>
      <c r="D432" s="35"/>
      <c r="E432" s="35"/>
    </row>
    <row r="433">
      <c r="A433" s="40"/>
      <c r="B433" s="35"/>
      <c r="C433" s="35"/>
      <c r="D433" s="35"/>
      <c r="E433" s="35"/>
    </row>
    <row r="434">
      <c r="A434" s="40"/>
      <c r="B434" s="35"/>
      <c r="C434" s="35"/>
      <c r="D434" s="35"/>
      <c r="E434" s="35"/>
    </row>
    <row r="435">
      <c r="A435" s="40"/>
      <c r="B435" s="35"/>
      <c r="C435" s="35"/>
      <c r="D435" s="35"/>
      <c r="E435" s="35"/>
    </row>
    <row r="436">
      <c r="A436" s="40"/>
      <c r="B436" s="35"/>
      <c r="C436" s="35"/>
      <c r="D436" s="35"/>
      <c r="E436" s="35"/>
    </row>
    <row r="437">
      <c r="A437" s="40"/>
      <c r="B437" s="35"/>
      <c r="C437" s="35"/>
      <c r="D437" s="35"/>
      <c r="E437" s="35"/>
    </row>
    <row r="438">
      <c r="A438" s="40"/>
      <c r="B438" s="35"/>
      <c r="C438" s="35"/>
      <c r="D438" s="35"/>
      <c r="E438" s="35"/>
    </row>
    <row r="439">
      <c r="A439" s="40"/>
      <c r="B439" s="35"/>
      <c r="C439" s="35"/>
      <c r="D439" s="35"/>
      <c r="E439" s="35"/>
    </row>
    <row r="440">
      <c r="A440" s="40"/>
      <c r="B440" s="35"/>
      <c r="C440" s="35"/>
      <c r="D440" s="35"/>
      <c r="E440" s="35"/>
    </row>
    <row r="441">
      <c r="A441" s="40"/>
      <c r="B441" s="35"/>
      <c r="C441" s="35"/>
      <c r="D441" s="35"/>
      <c r="E441" s="35"/>
    </row>
    <row r="442">
      <c r="A442" s="40"/>
      <c r="B442" s="35"/>
      <c r="C442" s="35"/>
      <c r="D442" s="35"/>
      <c r="E442" s="35"/>
    </row>
    <row r="443">
      <c r="A443" s="40"/>
      <c r="B443" s="35"/>
      <c r="C443" s="35"/>
      <c r="D443" s="35"/>
      <c r="E443" s="35"/>
    </row>
    <row r="444">
      <c r="A444" s="40"/>
      <c r="B444" s="35"/>
      <c r="C444" s="35"/>
      <c r="D444" s="35"/>
      <c r="E444" s="35"/>
    </row>
    <row r="445">
      <c r="A445" s="40"/>
      <c r="B445" s="35"/>
      <c r="C445" s="35"/>
      <c r="D445" s="35"/>
      <c r="E445" s="35"/>
    </row>
    <row r="446">
      <c r="A446" s="40"/>
      <c r="B446" s="35"/>
      <c r="C446" s="35"/>
      <c r="D446" s="35"/>
      <c r="E446" s="35"/>
    </row>
    <row r="447">
      <c r="A447" s="40"/>
      <c r="B447" s="35"/>
      <c r="C447" s="35"/>
      <c r="D447" s="35"/>
      <c r="E447" s="35"/>
    </row>
    <row r="448">
      <c r="A448" s="40"/>
      <c r="B448" s="35"/>
      <c r="C448" s="35"/>
      <c r="D448" s="35"/>
      <c r="E448" s="35"/>
    </row>
    <row r="449">
      <c r="A449" s="40"/>
      <c r="B449" s="35"/>
      <c r="C449" s="35"/>
      <c r="D449" s="35"/>
      <c r="E449" s="35"/>
    </row>
    <row r="450">
      <c r="A450" s="40"/>
      <c r="B450" s="35"/>
      <c r="C450" s="35"/>
      <c r="D450" s="35"/>
      <c r="E450" s="35"/>
    </row>
    <row r="451">
      <c r="A451" s="40"/>
      <c r="B451" s="35"/>
      <c r="C451" s="35"/>
      <c r="D451" s="35"/>
      <c r="E451" s="35"/>
    </row>
    <row r="452">
      <c r="A452" s="40"/>
      <c r="B452" s="35"/>
      <c r="C452" s="35"/>
      <c r="D452" s="35"/>
      <c r="E452" s="35"/>
    </row>
    <row r="453">
      <c r="A453" s="40"/>
      <c r="B453" s="35"/>
      <c r="C453" s="35"/>
      <c r="D453" s="35"/>
      <c r="E453" s="35"/>
    </row>
    <row r="454">
      <c r="A454" s="40"/>
      <c r="B454" s="35"/>
      <c r="C454" s="35"/>
      <c r="D454" s="35"/>
      <c r="E454" s="35"/>
    </row>
    <row r="455">
      <c r="A455" s="40"/>
      <c r="B455" s="35"/>
      <c r="C455" s="35"/>
      <c r="D455" s="35"/>
      <c r="E455" s="35"/>
    </row>
    <row r="456">
      <c r="A456" s="40"/>
      <c r="B456" s="35"/>
      <c r="C456" s="35"/>
      <c r="D456" s="35"/>
      <c r="E456" s="35"/>
    </row>
    <row r="457">
      <c r="A457" s="40"/>
      <c r="B457" s="35"/>
      <c r="C457" s="35"/>
      <c r="D457" s="35"/>
      <c r="E457" s="35"/>
    </row>
    <row r="458">
      <c r="A458" s="40"/>
      <c r="B458" s="35"/>
      <c r="C458" s="35"/>
      <c r="D458" s="35"/>
      <c r="E458" s="35"/>
    </row>
    <row r="459">
      <c r="A459" s="40"/>
      <c r="B459" s="35"/>
      <c r="C459" s="35"/>
      <c r="D459" s="35"/>
      <c r="E459" s="35"/>
    </row>
    <row r="460">
      <c r="A460" s="40"/>
      <c r="B460" s="35"/>
      <c r="C460" s="35"/>
      <c r="D460" s="35"/>
      <c r="E460" s="35"/>
    </row>
    <row r="461">
      <c r="A461" s="40"/>
      <c r="B461" s="35"/>
      <c r="C461" s="35"/>
      <c r="D461" s="35"/>
      <c r="E461" s="35"/>
    </row>
    <row r="462">
      <c r="A462" s="40"/>
      <c r="B462" s="35"/>
      <c r="C462" s="35"/>
      <c r="D462" s="35"/>
      <c r="E462" s="35"/>
    </row>
    <row r="463">
      <c r="A463" s="40"/>
      <c r="B463" s="35"/>
      <c r="C463" s="35"/>
      <c r="D463" s="35"/>
      <c r="E463" s="35"/>
    </row>
    <row r="464">
      <c r="A464" s="40"/>
      <c r="B464" s="35"/>
      <c r="C464" s="35"/>
      <c r="D464" s="35"/>
      <c r="E464" s="35"/>
    </row>
    <row r="465">
      <c r="A465" s="40"/>
      <c r="B465" s="35"/>
      <c r="C465" s="35"/>
      <c r="D465" s="35"/>
      <c r="E465" s="35"/>
    </row>
    <row r="466">
      <c r="A466" s="40"/>
      <c r="B466" s="35"/>
      <c r="C466" s="35"/>
      <c r="D466" s="35"/>
      <c r="E466" s="35"/>
    </row>
    <row r="467">
      <c r="A467" s="40"/>
      <c r="B467" s="35"/>
      <c r="C467" s="35"/>
      <c r="D467" s="35"/>
      <c r="E467" s="35"/>
    </row>
    <row r="468">
      <c r="A468" s="40"/>
      <c r="B468" s="35"/>
      <c r="C468" s="35"/>
      <c r="D468" s="35"/>
      <c r="E468" s="35"/>
    </row>
    <row r="469">
      <c r="A469" s="40"/>
      <c r="B469" s="35"/>
      <c r="C469" s="35"/>
      <c r="D469" s="35"/>
      <c r="E469" s="35"/>
    </row>
    <row r="470">
      <c r="A470" s="40"/>
      <c r="B470" s="35"/>
      <c r="C470" s="35"/>
      <c r="D470" s="35"/>
      <c r="E470" s="35"/>
    </row>
    <row r="471">
      <c r="A471" s="40"/>
      <c r="B471" s="35"/>
      <c r="C471" s="35"/>
      <c r="D471" s="35"/>
      <c r="E471" s="35"/>
    </row>
    <row r="472">
      <c r="A472" s="40"/>
      <c r="B472" s="35"/>
      <c r="C472" s="35"/>
      <c r="D472" s="35"/>
      <c r="E472" s="35"/>
    </row>
    <row r="473">
      <c r="A473" s="40"/>
      <c r="B473" s="35"/>
      <c r="C473" s="35"/>
      <c r="D473" s="35"/>
      <c r="E473" s="35"/>
    </row>
    <row r="474">
      <c r="A474" s="40"/>
      <c r="B474" s="35"/>
      <c r="C474" s="35"/>
      <c r="D474" s="35"/>
      <c r="E474" s="35"/>
    </row>
    <row r="475">
      <c r="A475" s="40"/>
      <c r="B475" s="35"/>
      <c r="C475" s="35"/>
      <c r="D475" s="35"/>
      <c r="E475" s="35"/>
    </row>
    <row r="476">
      <c r="A476" s="40"/>
      <c r="B476" s="35"/>
      <c r="C476" s="35"/>
      <c r="D476" s="35"/>
      <c r="E476" s="35"/>
    </row>
    <row r="477">
      <c r="A477" s="40"/>
      <c r="B477" s="35"/>
      <c r="C477" s="35"/>
      <c r="D477" s="35"/>
      <c r="E477" s="35"/>
    </row>
    <row r="478">
      <c r="A478" s="40"/>
      <c r="B478" s="35"/>
      <c r="C478" s="35"/>
      <c r="D478" s="35"/>
      <c r="E478" s="35"/>
    </row>
    <row r="479">
      <c r="A479" s="40"/>
      <c r="B479" s="35"/>
      <c r="C479" s="35"/>
      <c r="D479" s="35"/>
      <c r="E479" s="35"/>
    </row>
    <row r="480">
      <c r="A480" s="40"/>
      <c r="B480" s="35"/>
      <c r="C480" s="35"/>
      <c r="D480" s="35"/>
      <c r="E480" s="35"/>
    </row>
    <row r="481">
      <c r="A481" s="40"/>
      <c r="B481" s="35"/>
      <c r="C481" s="35"/>
      <c r="D481" s="35"/>
      <c r="E481" s="35"/>
    </row>
    <row r="482">
      <c r="A482" s="40"/>
      <c r="B482" s="35"/>
      <c r="C482" s="35"/>
      <c r="D482" s="35"/>
      <c r="E482" s="35"/>
    </row>
    <row r="483">
      <c r="A483" s="40"/>
      <c r="B483" s="35"/>
      <c r="C483" s="35"/>
      <c r="D483" s="35"/>
      <c r="E483" s="35"/>
    </row>
    <row r="484">
      <c r="A484" s="40"/>
      <c r="B484" s="35"/>
      <c r="C484" s="35"/>
      <c r="D484" s="35"/>
      <c r="E484" s="35"/>
    </row>
    <row r="485">
      <c r="A485" s="40"/>
      <c r="B485" s="35"/>
      <c r="C485" s="35"/>
      <c r="D485" s="35"/>
      <c r="E485" s="35"/>
    </row>
    <row r="486">
      <c r="A486" s="40"/>
      <c r="B486" s="35"/>
      <c r="C486" s="35"/>
      <c r="D486" s="35"/>
      <c r="E486" s="35"/>
    </row>
    <row r="487">
      <c r="A487" s="40"/>
      <c r="B487" s="35"/>
      <c r="C487" s="35"/>
      <c r="D487" s="35"/>
      <c r="E487" s="35"/>
    </row>
    <row r="488">
      <c r="A488" s="40"/>
      <c r="B488" s="35"/>
      <c r="C488" s="35"/>
      <c r="D488" s="35"/>
      <c r="E488" s="35"/>
    </row>
    <row r="489">
      <c r="A489" s="40"/>
      <c r="B489" s="35"/>
      <c r="C489" s="35"/>
      <c r="D489" s="35"/>
      <c r="E489" s="35"/>
    </row>
    <row r="490">
      <c r="A490" s="40"/>
      <c r="B490" s="35"/>
      <c r="C490" s="35"/>
      <c r="D490" s="35"/>
      <c r="E490" s="35"/>
    </row>
    <row r="491">
      <c r="A491" s="40"/>
      <c r="B491" s="35"/>
      <c r="C491" s="35"/>
      <c r="D491" s="35"/>
      <c r="E491" s="35"/>
    </row>
    <row r="492">
      <c r="A492" s="40"/>
      <c r="B492" s="35"/>
      <c r="C492" s="35"/>
      <c r="D492" s="35"/>
      <c r="E492" s="35"/>
    </row>
    <row r="493">
      <c r="A493" s="40"/>
      <c r="B493" s="35"/>
      <c r="C493" s="35"/>
      <c r="D493" s="35"/>
      <c r="E493" s="35"/>
    </row>
    <row r="494">
      <c r="A494" s="40"/>
      <c r="B494" s="35"/>
      <c r="C494" s="35"/>
      <c r="D494" s="35"/>
      <c r="E494" s="35"/>
    </row>
    <row r="495">
      <c r="A495" s="40"/>
      <c r="B495" s="35"/>
      <c r="C495" s="35"/>
      <c r="D495" s="35"/>
      <c r="E495" s="35"/>
    </row>
    <row r="496">
      <c r="A496" s="40"/>
      <c r="B496" s="35"/>
      <c r="C496" s="35"/>
      <c r="D496" s="35"/>
      <c r="E496" s="35"/>
    </row>
    <row r="497">
      <c r="A497" s="40"/>
      <c r="B497" s="35"/>
      <c r="C497" s="35"/>
      <c r="D497" s="35"/>
      <c r="E497" s="35"/>
    </row>
    <row r="498">
      <c r="A498" s="40"/>
      <c r="B498" s="35"/>
      <c r="C498" s="35"/>
      <c r="D498" s="35"/>
      <c r="E498" s="35"/>
    </row>
    <row r="499">
      <c r="A499" s="40"/>
      <c r="B499" s="35"/>
      <c r="C499" s="35"/>
      <c r="D499" s="35"/>
      <c r="E499" s="35"/>
    </row>
    <row r="500">
      <c r="A500" s="40"/>
      <c r="B500" s="35"/>
      <c r="C500" s="35"/>
      <c r="D500" s="35"/>
      <c r="E500" s="35"/>
    </row>
    <row r="501">
      <c r="A501" s="40"/>
      <c r="B501" s="35"/>
      <c r="C501" s="35"/>
      <c r="D501" s="35"/>
      <c r="E501" s="35"/>
    </row>
    <row r="502">
      <c r="A502" s="40"/>
      <c r="B502" s="35"/>
      <c r="C502" s="35"/>
      <c r="D502" s="35"/>
      <c r="E502" s="35"/>
    </row>
    <row r="503">
      <c r="A503" s="40"/>
      <c r="B503" s="35"/>
      <c r="C503" s="35"/>
      <c r="D503" s="35"/>
      <c r="E503" s="35"/>
    </row>
    <row r="504">
      <c r="A504" s="40"/>
      <c r="B504" s="35"/>
      <c r="C504" s="35"/>
      <c r="D504" s="35"/>
      <c r="E504" s="35"/>
    </row>
    <row r="505">
      <c r="A505" s="40"/>
      <c r="B505" s="35"/>
      <c r="C505" s="35"/>
      <c r="D505" s="35"/>
      <c r="E505" s="35"/>
    </row>
    <row r="506">
      <c r="A506" s="40"/>
      <c r="B506" s="35"/>
      <c r="C506" s="35"/>
      <c r="D506" s="35"/>
      <c r="E506" s="35"/>
    </row>
    <row r="507">
      <c r="A507" s="40"/>
      <c r="B507" s="35"/>
      <c r="C507" s="35"/>
      <c r="D507" s="35"/>
      <c r="E507" s="35"/>
    </row>
    <row r="508">
      <c r="A508" s="40"/>
      <c r="B508" s="35"/>
      <c r="C508" s="35"/>
      <c r="D508" s="35"/>
      <c r="E508" s="35"/>
    </row>
    <row r="509">
      <c r="A509" s="40"/>
      <c r="B509" s="35"/>
      <c r="C509" s="35"/>
      <c r="D509" s="35"/>
      <c r="E509" s="35"/>
    </row>
    <row r="510">
      <c r="A510" s="40"/>
      <c r="B510" s="35"/>
      <c r="C510" s="35"/>
      <c r="D510" s="35"/>
      <c r="E510" s="35"/>
    </row>
    <row r="511">
      <c r="A511" s="40"/>
      <c r="B511" s="35"/>
      <c r="C511" s="35"/>
      <c r="D511" s="35"/>
      <c r="E511" s="35"/>
    </row>
    <row r="512">
      <c r="A512" s="40"/>
      <c r="B512" s="35"/>
      <c r="C512" s="35"/>
      <c r="D512" s="35"/>
      <c r="E512" s="35"/>
    </row>
    <row r="513">
      <c r="A513" s="40"/>
      <c r="B513" s="35"/>
      <c r="C513" s="35"/>
      <c r="D513" s="35"/>
      <c r="E513" s="35"/>
    </row>
    <row r="514">
      <c r="A514" s="40"/>
      <c r="B514" s="35"/>
      <c r="C514" s="35"/>
      <c r="D514" s="35"/>
      <c r="E514" s="35"/>
    </row>
    <row r="515">
      <c r="A515" s="40"/>
      <c r="B515" s="35"/>
      <c r="C515" s="35"/>
      <c r="D515" s="35"/>
      <c r="E515" s="35"/>
    </row>
    <row r="516">
      <c r="A516" s="40"/>
      <c r="B516" s="35"/>
      <c r="C516" s="35"/>
      <c r="D516" s="35"/>
      <c r="E516" s="35"/>
    </row>
    <row r="517">
      <c r="A517" s="40"/>
      <c r="B517" s="35"/>
      <c r="C517" s="35"/>
      <c r="D517" s="35"/>
      <c r="E517" s="35"/>
    </row>
    <row r="518">
      <c r="A518" s="40"/>
      <c r="B518" s="35"/>
      <c r="C518" s="35"/>
      <c r="D518" s="35"/>
      <c r="E518" s="35"/>
    </row>
    <row r="519">
      <c r="A519" s="40"/>
      <c r="B519" s="35"/>
      <c r="C519" s="35"/>
      <c r="D519" s="35"/>
      <c r="E519" s="35"/>
    </row>
    <row r="520">
      <c r="A520" s="40"/>
      <c r="B520" s="35"/>
      <c r="C520" s="35"/>
      <c r="D520" s="35"/>
      <c r="E520" s="35"/>
    </row>
    <row r="521">
      <c r="A521" s="40"/>
      <c r="B521" s="35"/>
      <c r="C521" s="35"/>
      <c r="D521" s="35"/>
      <c r="E521" s="35"/>
    </row>
    <row r="522">
      <c r="A522" s="40"/>
      <c r="B522" s="35"/>
      <c r="C522" s="35"/>
      <c r="D522" s="35"/>
      <c r="E522" s="35"/>
    </row>
    <row r="523">
      <c r="A523" s="40"/>
      <c r="B523" s="35"/>
      <c r="C523" s="35"/>
      <c r="D523" s="35"/>
      <c r="E523" s="35"/>
    </row>
    <row r="524">
      <c r="A524" s="40"/>
      <c r="B524" s="35"/>
      <c r="C524" s="35"/>
      <c r="D524" s="35"/>
      <c r="E524" s="35"/>
    </row>
    <row r="525">
      <c r="A525" s="40"/>
      <c r="B525" s="35"/>
      <c r="C525" s="35"/>
      <c r="D525" s="35"/>
      <c r="E525" s="35"/>
    </row>
    <row r="526">
      <c r="A526" s="40"/>
      <c r="B526" s="35"/>
      <c r="C526" s="35"/>
      <c r="D526" s="35"/>
      <c r="E526" s="35"/>
    </row>
    <row r="527">
      <c r="A527" s="40"/>
      <c r="B527" s="35"/>
      <c r="C527" s="35"/>
      <c r="D527" s="35"/>
      <c r="E527" s="35"/>
    </row>
    <row r="528">
      <c r="A528" s="40"/>
      <c r="B528" s="35"/>
      <c r="C528" s="35"/>
      <c r="D528" s="35"/>
      <c r="E528" s="35"/>
    </row>
    <row r="529">
      <c r="A529" s="40"/>
      <c r="B529" s="35"/>
      <c r="C529" s="35"/>
      <c r="D529" s="35"/>
      <c r="E529" s="35"/>
    </row>
    <row r="530">
      <c r="A530" s="40"/>
      <c r="B530" s="35"/>
      <c r="C530" s="35"/>
      <c r="D530" s="35"/>
      <c r="E530" s="35"/>
    </row>
    <row r="531">
      <c r="A531" s="40"/>
      <c r="B531" s="35"/>
      <c r="C531" s="35"/>
      <c r="D531" s="35"/>
      <c r="E531" s="35"/>
    </row>
    <row r="532">
      <c r="A532" s="40"/>
      <c r="B532" s="35"/>
      <c r="C532" s="35"/>
      <c r="D532" s="35"/>
      <c r="E532" s="35"/>
    </row>
    <row r="533">
      <c r="A533" s="40"/>
      <c r="B533" s="35"/>
      <c r="C533" s="35"/>
      <c r="D533" s="35"/>
      <c r="E533" s="35"/>
    </row>
    <row r="534">
      <c r="A534" s="40"/>
      <c r="B534" s="35"/>
      <c r="C534" s="35"/>
      <c r="D534" s="35"/>
      <c r="E534" s="35"/>
    </row>
    <row r="535">
      <c r="A535" s="40"/>
      <c r="B535" s="35"/>
      <c r="C535" s="35"/>
      <c r="D535" s="35"/>
      <c r="E535" s="35"/>
    </row>
    <row r="536">
      <c r="A536" s="40"/>
      <c r="B536" s="35"/>
      <c r="C536" s="35"/>
      <c r="D536" s="35"/>
      <c r="E536" s="35"/>
    </row>
    <row r="537">
      <c r="A537" s="40"/>
      <c r="B537" s="35"/>
      <c r="C537" s="35"/>
      <c r="D537" s="35"/>
      <c r="E537" s="35"/>
    </row>
    <row r="538">
      <c r="A538" s="40"/>
      <c r="B538" s="35"/>
      <c r="C538" s="35"/>
      <c r="D538" s="35"/>
      <c r="E538" s="35"/>
    </row>
    <row r="539">
      <c r="A539" s="40"/>
      <c r="B539" s="35"/>
      <c r="C539" s="35"/>
      <c r="D539" s="35"/>
      <c r="E539" s="35"/>
    </row>
    <row r="540">
      <c r="A540" s="40"/>
      <c r="B540" s="35"/>
      <c r="C540" s="35"/>
      <c r="D540" s="35"/>
      <c r="E540" s="35"/>
    </row>
    <row r="541">
      <c r="A541" s="40"/>
      <c r="B541" s="35"/>
      <c r="C541" s="35"/>
      <c r="D541" s="35"/>
      <c r="E541" s="35"/>
    </row>
    <row r="542">
      <c r="A542" s="40"/>
      <c r="B542" s="35"/>
      <c r="C542" s="35"/>
      <c r="D542" s="35"/>
      <c r="E542" s="35"/>
    </row>
    <row r="543">
      <c r="A543" s="40"/>
      <c r="B543" s="35"/>
      <c r="C543" s="35"/>
      <c r="D543" s="35"/>
      <c r="E543" s="35"/>
    </row>
    <row r="544">
      <c r="A544" s="40"/>
      <c r="B544" s="35"/>
      <c r="C544" s="35"/>
      <c r="D544" s="35"/>
      <c r="E544" s="35"/>
    </row>
    <row r="545">
      <c r="A545" s="40"/>
      <c r="B545" s="35"/>
      <c r="C545" s="35"/>
      <c r="D545" s="35"/>
      <c r="E545" s="35"/>
    </row>
    <row r="546">
      <c r="A546" s="40"/>
      <c r="B546" s="35"/>
      <c r="C546" s="35"/>
      <c r="D546" s="35"/>
      <c r="E546" s="35"/>
    </row>
    <row r="547">
      <c r="A547" s="40"/>
      <c r="B547" s="35"/>
      <c r="C547" s="35"/>
      <c r="D547" s="35"/>
      <c r="E547" s="35"/>
    </row>
    <row r="548">
      <c r="A548" s="40"/>
      <c r="B548" s="35"/>
      <c r="C548" s="35"/>
      <c r="D548" s="35"/>
      <c r="E548" s="35"/>
    </row>
    <row r="549">
      <c r="A549" s="40"/>
      <c r="B549" s="35"/>
      <c r="C549" s="35"/>
      <c r="D549" s="35"/>
      <c r="E549" s="35"/>
    </row>
    <row r="550">
      <c r="A550" s="40"/>
      <c r="B550" s="35"/>
      <c r="C550" s="35"/>
      <c r="D550" s="35"/>
      <c r="E550" s="35"/>
    </row>
    <row r="551">
      <c r="A551" s="40"/>
      <c r="B551" s="35"/>
      <c r="C551" s="35"/>
      <c r="D551" s="35"/>
      <c r="E551" s="35"/>
    </row>
    <row r="552">
      <c r="A552" s="40"/>
      <c r="B552" s="35"/>
      <c r="C552" s="35"/>
      <c r="D552" s="35"/>
      <c r="E552" s="35"/>
    </row>
    <row r="553">
      <c r="A553" s="40"/>
      <c r="B553" s="35"/>
      <c r="C553" s="35"/>
      <c r="D553" s="35"/>
      <c r="E553" s="35"/>
    </row>
    <row r="554">
      <c r="A554" s="40"/>
      <c r="B554" s="35"/>
      <c r="C554" s="35"/>
      <c r="D554" s="35"/>
      <c r="E554" s="35"/>
    </row>
    <row r="555">
      <c r="A555" s="40"/>
      <c r="B555" s="35"/>
      <c r="C555" s="35"/>
      <c r="D555" s="35"/>
      <c r="E555" s="35"/>
    </row>
    <row r="556">
      <c r="A556" s="40"/>
      <c r="B556" s="35"/>
      <c r="C556" s="35"/>
      <c r="D556" s="35"/>
      <c r="E556" s="35"/>
    </row>
    <row r="557">
      <c r="A557" s="40"/>
      <c r="B557" s="35"/>
      <c r="C557" s="35"/>
      <c r="D557" s="35"/>
      <c r="E557" s="35"/>
    </row>
    <row r="558">
      <c r="A558" s="40"/>
      <c r="B558" s="35"/>
      <c r="C558" s="35"/>
      <c r="D558" s="35"/>
      <c r="E558" s="35"/>
    </row>
    <row r="559">
      <c r="A559" s="40"/>
      <c r="B559" s="35"/>
      <c r="C559" s="35"/>
      <c r="D559" s="35"/>
      <c r="E559" s="35"/>
    </row>
    <row r="560">
      <c r="A560" s="40"/>
      <c r="B560" s="35"/>
      <c r="C560" s="35"/>
      <c r="D560" s="35"/>
      <c r="E560" s="35"/>
    </row>
    <row r="561">
      <c r="A561" s="40"/>
      <c r="B561" s="35"/>
      <c r="C561" s="35"/>
      <c r="D561" s="35"/>
      <c r="E561" s="35"/>
    </row>
    <row r="562">
      <c r="A562" s="40"/>
      <c r="B562" s="35"/>
      <c r="C562" s="35"/>
      <c r="D562" s="35"/>
      <c r="E562" s="35"/>
    </row>
    <row r="563">
      <c r="A563" s="40"/>
      <c r="B563" s="35"/>
      <c r="C563" s="35"/>
      <c r="D563" s="35"/>
      <c r="E563" s="35"/>
    </row>
    <row r="564">
      <c r="A564" s="40"/>
      <c r="B564" s="35"/>
      <c r="C564" s="35"/>
      <c r="D564" s="35"/>
      <c r="E564" s="35"/>
    </row>
    <row r="565">
      <c r="A565" s="40"/>
      <c r="B565" s="35"/>
      <c r="C565" s="35"/>
      <c r="D565" s="35"/>
      <c r="E565" s="35"/>
    </row>
    <row r="566">
      <c r="A566" s="40"/>
      <c r="B566" s="35"/>
      <c r="C566" s="35"/>
      <c r="D566" s="35"/>
      <c r="E566" s="35"/>
    </row>
    <row r="567">
      <c r="A567" s="40"/>
      <c r="B567" s="35"/>
      <c r="C567" s="35"/>
      <c r="D567" s="35"/>
      <c r="E567" s="35"/>
    </row>
    <row r="568">
      <c r="A568" s="40"/>
      <c r="B568" s="35"/>
      <c r="C568" s="35"/>
      <c r="D568" s="35"/>
      <c r="E568" s="35"/>
    </row>
    <row r="569">
      <c r="A569" s="40"/>
      <c r="B569" s="35"/>
      <c r="C569" s="35"/>
      <c r="D569" s="35"/>
      <c r="E569" s="35"/>
    </row>
    <row r="570">
      <c r="A570" s="40"/>
      <c r="B570" s="35"/>
      <c r="C570" s="35"/>
      <c r="D570" s="35"/>
      <c r="E570" s="35"/>
    </row>
    <row r="571">
      <c r="A571" s="40"/>
      <c r="B571" s="35"/>
      <c r="C571" s="35"/>
      <c r="D571" s="35"/>
      <c r="E571" s="35"/>
    </row>
    <row r="572">
      <c r="A572" s="40"/>
      <c r="B572" s="35"/>
      <c r="C572" s="35"/>
      <c r="D572" s="35"/>
      <c r="E572" s="35"/>
    </row>
    <row r="573">
      <c r="A573" s="40"/>
      <c r="B573" s="35"/>
      <c r="C573" s="35"/>
      <c r="D573" s="35"/>
      <c r="E573" s="35"/>
    </row>
    <row r="574">
      <c r="A574" s="40"/>
      <c r="B574" s="35"/>
      <c r="C574" s="35"/>
      <c r="D574" s="35"/>
      <c r="E574" s="35"/>
    </row>
    <row r="575">
      <c r="A575" s="40"/>
      <c r="B575" s="35"/>
      <c r="C575" s="35"/>
      <c r="D575" s="35"/>
      <c r="E575" s="35"/>
    </row>
    <row r="576">
      <c r="A576" s="40"/>
      <c r="B576" s="35"/>
      <c r="C576" s="35"/>
      <c r="D576" s="35"/>
      <c r="E576" s="35"/>
    </row>
    <row r="577">
      <c r="A577" s="40"/>
      <c r="B577" s="35"/>
      <c r="C577" s="35"/>
      <c r="D577" s="35"/>
      <c r="E577" s="35"/>
    </row>
    <row r="578">
      <c r="A578" s="40"/>
      <c r="B578" s="35"/>
      <c r="C578" s="35"/>
      <c r="D578" s="35"/>
      <c r="E578" s="35"/>
    </row>
    <row r="579">
      <c r="A579" s="40"/>
      <c r="B579" s="35"/>
      <c r="C579" s="35"/>
      <c r="D579" s="35"/>
      <c r="E579" s="35"/>
    </row>
    <row r="580">
      <c r="A580" s="40"/>
      <c r="B580" s="35"/>
      <c r="C580" s="35"/>
      <c r="D580" s="35"/>
      <c r="E580" s="35"/>
    </row>
    <row r="581">
      <c r="A581" s="40"/>
      <c r="B581" s="35"/>
      <c r="C581" s="35"/>
      <c r="D581" s="35"/>
      <c r="E581" s="35"/>
    </row>
    <row r="582">
      <c r="A582" s="40"/>
      <c r="B582" s="35"/>
      <c r="C582" s="35"/>
      <c r="D582" s="35"/>
      <c r="E582" s="35"/>
    </row>
    <row r="583">
      <c r="A583" s="40"/>
      <c r="B583" s="35"/>
      <c r="C583" s="35"/>
      <c r="D583" s="35"/>
      <c r="E583" s="35"/>
    </row>
    <row r="584">
      <c r="A584" s="40"/>
      <c r="B584" s="35"/>
      <c r="C584" s="35"/>
      <c r="D584" s="35"/>
      <c r="E584" s="35"/>
    </row>
    <row r="585">
      <c r="A585" s="40"/>
      <c r="B585" s="35"/>
      <c r="C585" s="35"/>
      <c r="D585" s="35"/>
      <c r="E585" s="35"/>
    </row>
    <row r="586">
      <c r="A586" s="40"/>
      <c r="B586" s="35"/>
      <c r="C586" s="35"/>
      <c r="D586" s="35"/>
      <c r="E586" s="35"/>
    </row>
    <row r="587">
      <c r="A587" s="40"/>
      <c r="B587" s="35"/>
      <c r="C587" s="35"/>
      <c r="D587" s="35"/>
      <c r="E587" s="35"/>
    </row>
    <row r="588">
      <c r="A588" s="40"/>
      <c r="B588" s="35"/>
      <c r="C588" s="35"/>
      <c r="D588" s="35"/>
      <c r="E588" s="35"/>
    </row>
    <row r="589">
      <c r="A589" s="40"/>
      <c r="B589" s="35"/>
      <c r="C589" s="35"/>
      <c r="D589" s="35"/>
      <c r="E589" s="35"/>
    </row>
    <row r="590">
      <c r="A590" s="40"/>
      <c r="B590" s="35"/>
      <c r="C590" s="35"/>
      <c r="D590" s="35"/>
      <c r="E590" s="35"/>
    </row>
    <row r="591">
      <c r="A591" s="40"/>
      <c r="B591" s="35"/>
      <c r="C591" s="35"/>
      <c r="D591" s="35"/>
      <c r="E591" s="35"/>
    </row>
    <row r="592">
      <c r="A592" s="40"/>
      <c r="B592" s="35"/>
      <c r="C592" s="35"/>
      <c r="D592" s="35"/>
      <c r="E592" s="35"/>
    </row>
    <row r="593">
      <c r="A593" s="40"/>
      <c r="B593" s="35"/>
      <c r="C593" s="35"/>
      <c r="D593" s="35"/>
      <c r="E593" s="35"/>
    </row>
    <row r="594">
      <c r="A594" s="40"/>
      <c r="B594" s="35"/>
      <c r="C594" s="35"/>
      <c r="D594" s="35"/>
      <c r="E594" s="35"/>
    </row>
    <row r="595">
      <c r="A595" s="40"/>
      <c r="B595" s="35"/>
      <c r="C595" s="35"/>
      <c r="D595" s="35"/>
      <c r="E595" s="35"/>
    </row>
    <row r="596">
      <c r="A596" s="40"/>
      <c r="B596" s="35"/>
      <c r="C596" s="35"/>
      <c r="D596" s="35"/>
      <c r="E596" s="35"/>
    </row>
    <row r="597">
      <c r="A597" s="40"/>
      <c r="B597" s="35"/>
      <c r="C597" s="35"/>
      <c r="D597" s="35"/>
      <c r="E597" s="35"/>
    </row>
    <row r="598">
      <c r="A598" s="40"/>
      <c r="B598" s="35"/>
      <c r="C598" s="35"/>
      <c r="D598" s="35"/>
      <c r="E598" s="35"/>
    </row>
    <row r="599">
      <c r="A599" s="40"/>
      <c r="B599" s="35"/>
      <c r="C599" s="35"/>
      <c r="D599" s="35"/>
      <c r="E599" s="35"/>
    </row>
    <row r="600">
      <c r="A600" s="40"/>
      <c r="B600" s="35"/>
      <c r="C600" s="35"/>
      <c r="D600" s="35"/>
      <c r="E600" s="35"/>
    </row>
    <row r="601">
      <c r="A601" s="40"/>
      <c r="B601" s="35"/>
      <c r="C601" s="35"/>
      <c r="D601" s="35"/>
      <c r="E601" s="35"/>
    </row>
    <row r="602">
      <c r="A602" s="40"/>
      <c r="B602" s="35"/>
      <c r="C602" s="35"/>
      <c r="D602" s="35"/>
      <c r="E602" s="35"/>
    </row>
    <row r="603">
      <c r="A603" s="40"/>
      <c r="B603" s="35"/>
      <c r="C603" s="35"/>
      <c r="D603" s="35"/>
      <c r="E603" s="35"/>
    </row>
    <row r="604">
      <c r="A604" s="40"/>
      <c r="B604" s="35"/>
      <c r="C604" s="35"/>
      <c r="D604" s="35"/>
      <c r="E604" s="35"/>
    </row>
    <row r="605">
      <c r="A605" s="40"/>
      <c r="B605" s="35"/>
      <c r="C605" s="35"/>
      <c r="D605" s="35"/>
      <c r="E605" s="35"/>
    </row>
    <row r="606">
      <c r="A606" s="40"/>
      <c r="B606" s="35"/>
      <c r="C606" s="35"/>
      <c r="D606" s="35"/>
      <c r="E606" s="35"/>
    </row>
    <row r="607">
      <c r="A607" s="40"/>
      <c r="B607" s="35"/>
      <c r="C607" s="35"/>
      <c r="D607" s="35"/>
      <c r="E607" s="35"/>
    </row>
    <row r="608">
      <c r="A608" s="40"/>
      <c r="B608" s="35"/>
      <c r="C608" s="35"/>
      <c r="D608" s="35"/>
      <c r="E608" s="35"/>
    </row>
    <row r="609">
      <c r="A609" s="40"/>
      <c r="B609" s="35"/>
      <c r="C609" s="35"/>
      <c r="D609" s="35"/>
      <c r="E609" s="35"/>
    </row>
    <row r="610">
      <c r="A610" s="40"/>
      <c r="B610" s="35"/>
      <c r="C610" s="35"/>
      <c r="D610" s="35"/>
      <c r="E610" s="35"/>
    </row>
    <row r="611">
      <c r="A611" s="40"/>
      <c r="B611" s="35"/>
      <c r="C611" s="35"/>
      <c r="D611" s="35"/>
      <c r="E611" s="35"/>
    </row>
    <row r="612">
      <c r="A612" s="40"/>
      <c r="B612" s="35"/>
      <c r="C612" s="35"/>
      <c r="D612" s="35"/>
      <c r="E612" s="35"/>
    </row>
    <row r="613">
      <c r="A613" s="40"/>
      <c r="B613" s="35"/>
      <c r="C613" s="35"/>
      <c r="D613" s="35"/>
      <c r="E613" s="35"/>
    </row>
    <row r="614">
      <c r="A614" s="40"/>
      <c r="B614" s="35"/>
      <c r="C614" s="35"/>
      <c r="D614" s="35"/>
      <c r="E614" s="35"/>
    </row>
    <row r="615">
      <c r="A615" s="40"/>
      <c r="B615" s="35"/>
      <c r="C615" s="35"/>
      <c r="D615" s="35"/>
      <c r="E615" s="35"/>
    </row>
    <row r="616">
      <c r="A616" s="40"/>
      <c r="B616" s="35"/>
      <c r="C616" s="35"/>
      <c r="D616" s="35"/>
      <c r="E616" s="35"/>
    </row>
    <row r="617">
      <c r="A617" s="40"/>
      <c r="B617" s="35"/>
      <c r="C617" s="35"/>
      <c r="D617" s="35"/>
      <c r="E617" s="35"/>
    </row>
    <row r="618">
      <c r="A618" s="40"/>
      <c r="B618" s="35"/>
      <c r="C618" s="35"/>
      <c r="D618" s="35"/>
      <c r="E618" s="35"/>
    </row>
    <row r="619">
      <c r="A619" s="40"/>
      <c r="B619" s="35"/>
      <c r="C619" s="35"/>
      <c r="D619" s="35"/>
      <c r="E619" s="35"/>
    </row>
    <row r="620">
      <c r="A620" s="40"/>
      <c r="B620" s="35"/>
      <c r="C620" s="35"/>
      <c r="D620" s="35"/>
      <c r="E620" s="35"/>
    </row>
    <row r="621">
      <c r="A621" s="40"/>
      <c r="B621" s="35"/>
      <c r="C621" s="35"/>
      <c r="D621" s="35"/>
      <c r="E621" s="35"/>
    </row>
    <row r="622">
      <c r="A622" s="40"/>
      <c r="B622" s="35"/>
      <c r="C622" s="35"/>
      <c r="D622" s="35"/>
      <c r="E622" s="35"/>
    </row>
    <row r="623">
      <c r="A623" s="40"/>
      <c r="B623" s="35"/>
      <c r="C623" s="35"/>
      <c r="D623" s="35"/>
      <c r="E623" s="35"/>
    </row>
    <row r="624">
      <c r="A624" s="40"/>
      <c r="B624" s="35"/>
      <c r="C624" s="35"/>
      <c r="D624" s="35"/>
      <c r="E624" s="35"/>
    </row>
    <row r="625">
      <c r="A625" s="40"/>
      <c r="B625" s="35"/>
      <c r="C625" s="35"/>
      <c r="D625" s="35"/>
      <c r="E625" s="35"/>
    </row>
    <row r="626">
      <c r="A626" s="40"/>
      <c r="B626" s="35"/>
      <c r="C626" s="35"/>
      <c r="D626" s="35"/>
      <c r="E626" s="35"/>
    </row>
    <row r="627">
      <c r="A627" s="40"/>
      <c r="B627" s="35"/>
      <c r="C627" s="35"/>
      <c r="D627" s="35"/>
      <c r="E627" s="35"/>
    </row>
    <row r="628">
      <c r="A628" s="40"/>
      <c r="B628" s="35"/>
      <c r="C628" s="35"/>
      <c r="D628" s="35"/>
      <c r="E628" s="35"/>
    </row>
    <row r="629">
      <c r="A629" s="40"/>
      <c r="B629" s="35"/>
      <c r="C629" s="35"/>
      <c r="D629" s="35"/>
      <c r="E629" s="35"/>
    </row>
    <row r="630">
      <c r="A630" s="40"/>
      <c r="B630" s="35"/>
      <c r="C630" s="35"/>
      <c r="D630" s="35"/>
      <c r="E630" s="35"/>
    </row>
    <row r="631">
      <c r="A631" s="40"/>
      <c r="B631" s="35"/>
      <c r="C631" s="35"/>
      <c r="D631" s="35"/>
      <c r="E631" s="35"/>
    </row>
    <row r="632">
      <c r="A632" s="40"/>
      <c r="B632" s="35"/>
      <c r="C632" s="35"/>
      <c r="D632" s="35"/>
      <c r="E632" s="35"/>
    </row>
    <row r="633">
      <c r="A633" s="40"/>
      <c r="B633" s="35"/>
      <c r="C633" s="35"/>
      <c r="D633" s="35"/>
      <c r="E633" s="35"/>
    </row>
    <row r="634">
      <c r="A634" s="40"/>
      <c r="B634" s="35"/>
      <c r="C634" s="35"/>
      <c r="D634" s="35"/>
      <c r="E634" s="35"/>
    </row>
    <row r="635">
      <c r="A635" s="40"/>
      <c r="B635" s="35"/>
      <c r="C635" s="35"/>
      <c r="D635" s="35"/>
      <c r="E635" s="35"/>
    </row>
    <row r="636">
      <c r="A636" s="40"/>
      <c r="B636" s="35"/>
      <c r="C636" s="35"/>
      <c r="D636" s="35"/>
      <c r="E636" s="35"/>
    </row>
    <row r="637">
      <c r="A637" s="40"/>
      <c r="B637" s="35"/>
      <c r="C637" s="35"/>
      <c r="D637" s="35"/>
      <c r="E637" s="35"/>
    </row>
    <row r="638">
      <c r="A638" s="40"/>
      <c r="B638" s="35"/>
      <c r="C638" s="35"/>
      <c r="D638" s="35"/>
      <c r="E638" s="35"/>
    </row>
    <row r="639">
      <c r="A639" s="40"/>
      <c r="B639" s="35"/>
      <c r="C639" s="35"/>
      <c r="D639" s="35"/>
      <c r="E639" s="35"/>
    </row>
    <row r="640">
      <c r="A640" s="40"/>
      <c r="B640" s="35"/>
      <c r="C640" s="35"/>
      <c r="D640" s="35"/>
      <c r="E640" s="35"/>
    </row>
    <row r="641">
      <c r="A641" s="40"/>
      <c r="B641" s="35"/>
      <c r="C641" s="35"/>
      <c r="D641" s="35"/>
      <c r="E641" s="35"/>
    </row>
    <row r="642">
      <c r="A642" s="40"/>
      <c r="B642" s="35"/>
      <c r="C642" s="35"/>
      <c r="D642" s="35"/>
      <c r="E642" s="35"/>
    </row>
    <row r="643">
      <c r="A643" s="40"/>
      <c r="B643" s="35"/>
      <c r="C643" s="35"/>
      <c r="D643" s="35"/>
      <c r="E643" s="35"/>
    </row>
    <row r="644">
      <c r="A644" s="40"/>
      <c r="B644" s="35"/>
      <c r="C644" s="35"/>
      <c r="D644" s="35"/>
      <c r="E644" s="35"/>
    </row>
    <row r="645">
      <c r="A645" s="40"/>
      <c r="B645" s="35"/>
      <c r="C645" s="35"/>
      <c r="D645" s="35"/>
      <c r="E645" s="35"/>
    </row>
    <row r="646">
      <c r="A646" s="40"/>
      <c r="B646" s="35"/>
      <c r="C646" s="35"/>
      <c r="D646" s="35"/>
      <c r="E646" s="35"/>
    </row>
    <row r="647">
      <c r="A647" s="40"/>
      <c r="B647" s="35"/>
      <c r="C647" s="35"/>
      <c r="D647" s="35"/>
      <c r="E647" s="35"/>
    </row>
    <row r="648">
      <c r="A648" s="40"/>
      <c r="B648" s="35"/>
      <c r="C648" s="35"/>
      <c r="D648" s="35"/>
      <c r="E648" s="35"/>
    </row>
    <row r="649">
      <c r="A649" s="40"/>
      <c r="B649" s="35"/>
      <c r="C649" s="35"/>
      <c r="D649" s="35"/>
      <c r="E649" s="35"/>
    </row>
    <row r="650">
      <c r="A650" s="40"/>
      <c r="B650" s="35"/>
      <c r="C650" s="35"/>
      <c r="D650" s="35"/>
      <c r="E650" s="35"/>
    </row>
    <row r="651">
      <c r="A651" s="40"/>
      <c r="B651" s="35"/>
      <c r="C651" s="35"/>
      <c r="D651" s="35"/>
      <c r="E651" s="35"/>
    </row>
    <row r="652">
      <c r="A652" s="40"/>
      <c r="B652" s="35"/>
      <c r="C652" s="35"/>
      <c r="D652" s="35"/>
      <c r="E652" s="35"/>
    </row>
    <row r="653">
      <c r="A653" s="40"/>
      <c r="B653" s="35"/>
      <c r="C653" s="35"/>
      <c r="D653" s="35"/>
      <c r="E653" s="35"/>
    </row>
    <row r="654">
      <c r="A654" s="40"/>
      <c r="B654" s="35"/>
      <c r="C654" s="35"/>
      <c r="D654" s="35"/>
      <c r="E654" s="35"/>
    </row>
    <row r="655">
      <c r="A655" s="40"/>
      <c r="B655" s="35"/>
      <c r="C655" s="35"/>
      <c r="D655" s="35"/>
      <c r="E655" s="35"/>
    </row>
    <row r="656">
      <c r="A656" s="40"/>
      <c r="B656" s="35"/>
      <c r="C656" s="35"/>
      <c r="D656" s="35"/>
      <c r="E656" s="35"/>
    </row>
    <row r="657">
      <c r="A657" s="40"/>
      <c r="B657" s="35"/>
      <c r="C657" s="35"/>
      <c r="D657" s="35"/>
      <c r="E657" s="35"/>
    </row>
    <row r="658">
      <c r="A658" s="40"/>
      <c r="B658" s="35"/>
      <c r="C658" s="35"/>
      <c r="D658" s="35"/>
      <c r="E658" s="35"/>
    </row>
    <row r="659">
      <c r="A659" s="40"/>
      <c r="B659" s="35"/>
      <c r="C659" s="35"/>
      <c r="D659" s="35"/>
      <c r="E659" s="35"/>
    </row>
    <row r="660">
      <c r="A660" s="40"/>
      <c r="B660" s="35"/>
      <c r="C660" s="35"/>
      <c r="D660" s="35"/>
      <c r="E660" s="35"/>
    </row>
    <row r="661">
      <c r="A661" s="40"/>
      <c r="B661" s="35"/>
      <c r="C661" s="35"/>
      <c r="D661" s="35"/>
      <c r="E661" s="35"/>
    </row>
    <row r="662">
      <c r="A662" s="40"/>
      <c r="B662" s="35"/>
      <c r="C662" s="35"/>
      <c r="D662" s="35"/>
      <c r="E662" s="35"/>
    </row>
    <row r="663">
      <c r="A663" s="40"/>
      <c r="B663" s="35"/>
      <c r="C663" s="35"/>
      <c r="D663" s="35"/>
      <c r="E663" s="35"/>
    </row>
    <row r="664">
      <c r="A664" s="40"/>
      <c r="B664" s="35"/>
      <c r="C664" s="35"/>
      <c r="D664" s="35"/>
      <c r="E664" s="35"/>
    </row>
    <row r="665">
      <c r="A665" s="40"/>
      <c r="B665" s="35"/>
      <c r="C665" s="35"/>
      <c r="D665" s="35"/>
      <c r="E665" s="35"/>
    </row>
    <row r="666">
      <c r="A666" s="40"/>
      <c r="B666" s="35"/>
      <c r="C666" s="35"/>
      <c r="D666" s="35"/>
      <c r="E666" s="35"/>
    </row>
    <row r="667">
      <c r="A667" s="40"/>
      <c r="B667" s="35"/>
      <c r="C667" s="35"/>
      <c r="D667" s="35"/>
      <c r="E667" s="35"/>
    </row>
    <row r="668">
      <c r="A668" s="40"/>
      <c r="B668" s="35"/>
      <c r="C668" s="35"/>
      <c r="D668" s="35"/>
      <c r="E668" s="35"/>
    </row>
    <row r="669">
      <c r="A669" s="40"/>
      <c r="B669" s="35"/>
      <c r="C669" s="35"/>
      <c r="D669" s="35"/>
      <c r="E669" s="35"/>
    </row>
    <row r="670">
      <c r="A670" s="40"/>
      <c r="B670" s="35"/>
      <c r="C670" s="35"/>
      <c r="D670" s="35"/>
      <c r="E670" s="35"/>
    </row>
    <row r="671">
      <c r="A671" s="40"/>
      <c r="B671" s="35"/>
      <c r="C671" s="35"/>
      <c r="D671" s="35"/>
      <c r="E671" s="35"/>
    </row>
    <row r="672">
      <c r="A672" s="40"/>
      <c r="B672" s="35"/>
      <c r="C672" s="35"/>
      <c r="D672" s="35"/>
      <c r="E672" s="35"/>
    </row>
    <row r="673">
      <c r="A673" s="40"/>
      <c r="B673" s="35"/>
      <c r="C673" s="35"/>
      <c r="D673" s="35"/>
      <c r="E673" s="35"/>
    </row>
    <row r="674">
      <c r="A674" s="40"/>
      <c r="B674" s="35"/>
      <c r="C674" s="35"/>
      <c r="D674" s="35"/>
      <c r="E674" s="35"/>
    </row>
    <row r="675">
      <c r="A675" s="40"/>
      <c r="B675" s="35"/>
      <c r="C675" s="35"/>
      <c r="D675" s="35"/>
      <c r="E675" s="35"/>
    </row>
    <row r="676">
      <c r="A676" s="40"/>
      <c r="B676" s="35"/>
      <c r="C676" s="35"/>
      <c r="D676" s="35"/>
      <c r="E676" s="35"/>
    </row>
    <row r="677">
      <c r="A677" s="40"/>
      <c r="B677" s="35"/>
      <c r="C677" s="35"/>
      <c r="D677" s="35"/>
      <c r="E677" s="35"/>
    </row>
    <row r="678">
      <c r="A678" s="40"/>
      <c r="B678" s="35"/>
      <c r="C678" s="35"/>
      <c r="D678" s="35"/>
      <c r="E678" s="35"/>
    </row>
    <row r="679">
      <c r="A679" s="40"/>
      <c r="B679" s="35"/>
      <c r="C679" s="35"/>
      <c r="D679" s="35"/>
      <c r="E679" s="35"/>
    </row>
    <row r="680">
      <c r="A680" s="40"/>
      <c r="B680" s="35"/>
      <c r="C680" s="35"/>
      <c r="D680" s="35"/>
      <c r="E680" s="35"/>
    </row>
    <row r="681">
      <c r="A681" s="40"/>
      <c r="B681" s="35"/>
      <c r="C681" s="35"/>
      <c r="D681" s="35"/>
      <c r="E681" s="35"/>
    </row>
    <row r="682">
      <c r="A682" s="40"/>
      <c r="B682" s="35"/>
      <c r="C682" s="35"/>
      <c r="D682" s="35"/>
      <c r="E682" s="35"/>
    </row>
    <row r="683">
      <c r="A683" s="40"/>
      <c r="B683" s="35"/>
      <c r="C683" s="35"/>
      <c r="D683" s="35"/>
      <c r="E683" s="35"/>
    </row>
    <row r="684">
      <c r="A684" s="40"/>
      <c r="B684" s="35"/>
      <c r="C684" s="35"/>
      <c r="D684" s="35"/>
      <c r="E684" s="35"/>
    </row>
    <row r="685">
      <c r="A685" s="40"/>
      <c r="B685" s="35"/>
      <c r="C685" s="35"/>
      <c r="D685" s="35"/>
      <c r="E685" s="35"/>
    </row>
    <row r="686">
      <c r="A686" s="40"/>
      <c r="B686" s="35"/>
      <c r="C686" s="35"/>
      <c r="D686" s="35"/>
      <c r="E686" s="35"/>
    </row>
    <row r="687">
      <c r="A687" s="40"/>
      <c r="B687" s="35"/>
      <c r="C687" s="35"/>
      <c r="D687" s="35"/>
      <c r="E687" s="35"/>
    </row>
    <row r="688">
      <c r="A688" s="40"/>
      <c r="B688" s="35"/>
      <c r="C688" s="35"/>
      <c r="D688" s="35"/>
      <c r="E688" s="35"/>
    </row>
    <row r="689">
      <c r="A689" s="40"/>
      <c r="B689" s="35"/>
      <c r="C689" s="35"/>
      <c r="D689" s="35"/>
      <c r="E689" s="35"/>
    </row>
    <row r="690">
      <c r="A690" s="40"/>
      <c r="B690" s="35"/>
      <c r="C690" s="35"/>
      <c r="D690" s="35"/>
      <c r="E690" s="35"/>
    </row>
    <row r="691">
      <c r="A691" s="40"/>
      <c r="B691" s="35"/>
      <c r="C691" s="35"/>
      <c r="D691" s="35"/>
      <c r="E691" s="35"/>
    </row>
    <row r="692">
      <c r="A692" s="40"/>
      <c r="B692" s="35"/>
      <c r="C692" s="35"/>
      <c r="D692" s="35"/>
      <c r="E692" s="35"/>
    </row>
    <row r="693">
      <c r="A693" s="40"/>
      <c r="B693" s="35"/>
      <c r="C693" s="35"/>
      <c r="D693" s="35"/>
      <c r="E693" s="35"/>
    </row>
    <row r="694">
      <c r="A694" s="40"/>
      <c r="B694" s="35"/>
      <c r="C694" s="35"/>
      <c r="D694" s="35"/>
      <c r="E694" s="35"/>
    </row>
    <row r="695">
      <c r="A695" s="40"/>
      <c r="B695" s="35"/>
      <c r="C695" s="35"/>
      <c r="D695" s="35"/>
      <c r="E695" s="35"/>
    </row>
    <row r="696">
      <c r="A696" s="40"/>
      <c r="B696" s="35"/>
      <c r="C696" s="35"/>
      <c r="D696" s="35"/>
      <c r="E696" s="35"/>
    </row>
    <row r="697">
      <c r="A697" s="40"/>
      <c r="B697" s="35"/>
      <c r="C697" s="35"/>
      <c r="D697" s="35"/>
      <c r="E697" s="35"/>
    </row>
    <row r="698">
      <c r="A698" s="40"/>
      <c r="B698" s="35"/>
      <c r="C698" s="35"/>
      <c r="D698" s="35"/>
      <c r="E698" s="35"/>
    </row>
    <row r="699">
      <c r="A699" s="40"/>
      <c r="B699" s="35"/>
      <c r="C699" s="35"/>
      <c r="D699" s="35"/>
      <c r="E699" s="35"/>
    </row>
    <row r="700">
      <c r="A700" s="40"/>
      <c r="B700" s="35"/>
      <c r="C700" s="35"/>
      <c r="D700" s="35"/>
      <c r="E700" s="35"/>
    </row>
    <row r="701">
      <c r="A701" s="40"/>
      <c r="B701" s="35"/>
      <c r="C701" s="35"/>
      <c r="D701" s="35"/>
      <c r="E701" s="35"/>
    </row>
    <row r="702">
      <c r="A702" s="40"/>
      <c r="B702" s="35"/>
      <c r="C702" s="35"/>
      <c r="D702" s="35"/>
      <c r="E702" s="35"/>
    </row>
    <row r="703">
      <c r="A703" s="40"/>
      <c r="B703" s="35"/>
      <c r="C703" s="35"/>
      <c r="D703" s="35"/>
      <c r="E703" s="35"/>
    </row>
    <row r="704">
      <c r="A704" s="40"/>
      <c r="B704" s="35"/>
      <c r="C704" s="35"/>
      <c r="D704" s="35"/>
      <c r="E704" s="35"/>
    </row>
    <row r="705">
      <c r="A705" s="40"/>
      <c r="B705" s="35"/>
      <c r="C705" s="35"/>
      <c r="D705" s="35"/>
      <c r="E705" s="35"/>
    </row>
    <row r="706">
      <c r="A706" s="40"/>
      <c r="B706" s="35"/>
      <c r="C706" s="35"/>
      <c r="D706" s="35"/>
      <c r="E706" s="35"/>
    </row>
    <row r="707">
      <c r="A707" s="40"/>
      <c r="B707" s="35"/>
      <c r="C707" s="35"/>
      <c r="D707" s="35"/>
      <c r="E707" s="35"/>
    </row>
    <row r="708">
      <c r="A708" s="40"/>
      <c r="B708" s="35"/>
      <c r="C708" s="35"/>
      <c r="D708" s="35"/>
      <c r="E708" s="35"/>
    </row>
    <row r="709">
      <c r="A709" s="40"/>
      <c r="B709" s="35"/>
      <c r="C709" s="35"/>
      <c r="D709" s="35"/>
      <c r="E709" s="35"/>
    </row>
    <row r="710">
      <c r="A710" s="40"/>
      <c r="B710" s="35"/>
      <c r="C710" s="35"/>
      <c r="D710" s="35"/>
      <c r="E710" s="35"/>
    </row>
    <row r="711">
      <c r="A711" s="40"/>
      <c r="B711" s="35"/>
      <c r="C711" s="35"/>
      <c r="D711" s="35"/>
      <c r="E711" s="35"/>
    </row>
    <row r="712">
      <c r="A712" s="40"/>
      <c r="B712" s="35"/>
      <c r="C712" s="35"/>
      <c r="D712" s="35"/>
      <c r="E712" s="35"/>
    </row>
    <row r="713">
      <c r="A713" s="40"/>
      <c r="B713" s="35"/>
      <c r="C713" s="35"/>
      <c r="D713" s="35"/>
      <c r="E713" s="35"/>
    </row>
    <row r="714">
      <c r="A714" s="40"/>
      <c r="B714" s="35"/>
      <c r="C714" s="35"/>
      <c r="D714" s="35"/>
      <c r="E714" s="35"/>
    </row>
    <row r="715">
      <c r="A715" s="40"/>
      <c r="B715" s="35"/>
      <c r="C715" s="35"/>
      <c r="D715" s="35"/>
      <c r="E715" s="35"/>
    </row>
    <row r="716">
      <c r="A716" s="40"/>
      <c r="B716" s="35"/>
      <c r="C716" s="35"/>
      <c r="D716" s="35"/>
      <c r="E716" s="35"/>
    </row>
    <row r="717">
      <c r="A717" s="40"/>
      <c r="B717" s="35"/>
      <c r="C717" s="35"/>
      <c r="D717" s="35"/>
      <c r="E717" s="35"/>
    </row>
    <row r="718">
      <c r="A718" s="40"/>
      <c r="B718" s="35"/>
      <c r="C718" s="35"/>
      <c r="D718" s="35"/>
      <c r="E718" s="35"/>
    </row>
    <row r="719">
      <c r="A719" s="40"/>
      <c r="B719" s="35"/>
      <c r="C719" s="35"/>
      <c r="D719" s="35"/>
      <c r="E719" s="35"/>
    </row>
    <row r="720">
      <c r="A720" s="40"/>
      <c r="B720" s="35"/>
      <c r="C720" s="35"/>
      <c r="D720" s="35"/>
      <c r="E720" s="35"/>
    </row>
    <row r="721">
      <c r="A721" s="40"/>
      <c r="B721" s="35"/>
      <c r="C721" s="35"/>
      <c r="D721" s="35"/>
      <c r="E721" s="35"/>
    </row>
    <row r="722">
      <c r="A722" s="40"/>
      <c r="B722" s="35"/>
      <c r="C722" s="35"/>
      <c r="D722" s="35"/>
      <c r="E722" s="35"/>
    </row>
    <row r="723">
      <c r="A723" s="40"/>
      <c r="B723" s="35"/>
      <c r="C723" s="35"/>
      <c r="D723" s="35"/>
      <c r="E723" s="35"/>
    </row>
    <row r="724">
      <c r="A724" s="40"/>
      <c r="B724" s="35"/>
      <c r="C724" s="35"/>
      <c r="D724" s="35"/>
      <c r="E724" s="35"/>
    </row>
    <row r="725">
      <c r="A725" s="40"/>
      <c r="B725" s="35"/>
      <c r="C725" s="35"/>
      <c r="D725" s="35"/>
      <c r="E725" s="35"/>
    </row>
    <row r="726">
      <c r="A726" s="40"/>
      <c r="B726" s="35"/>
      <c r="C726" s="35"/>
      <c r="D726" s="35"/>
      <c r="E726" s="35"/>
    </row>
    <row r="727">
      <c r="A727" s="40"/>
      <c r="B727" s="35"/>
      <c r="C727" s="35"/>
      <c r="D727" s="35"/>
      <c r="E727" s="35"/>
    </row>
    <row r="728">
      <c r="A728" s="40"/>
      <c r="B728" s="35"/>
      <c r="C728" s="35"/>
      <c r="D728" s="35"/>
      <c r="E728" s="35"/>
    </row>
    <row r="729">
      <c r="A729" s="40"/>
      <c r="B729" s="35"/>
      <c r="C729" s="35"/>
      <c r="D729" s="35"/>
      <c r="E729" s="35"/>
    </row>
    <row r="730">
      <c r="A730" s="40"/>
      <c r="B730" s="35"/>
      <c r="C730" s="35"/>
      <c r="D730" s="35"/>
      <c r="E730" s="35"/>
    </row>
    <row r="731">
      <c r="A731" s="40"/>
      <c r="B731" s="35"/>
      <c r="C731" s="35"/>
      <c r="D731" s="35"/>
      <c r="E731" s="35"/>
    </row>
    <row r="732">
      <c r="A732" s="40"/>
      <c r="B732" s="35"/>
      <c r="C732" s="35"/>
      <c r="D732" s="35"/>
      <c r="E732" s="35"/>
    </row>
    <row r="733">
      <c r="A733" s="40"/>
      <c r="B733" s="35"/>
      <c r="C733" s="35"/>
      <c r="D733" s="35"/>
      <c r="E733" s="35"/>
    </row>
    <row r="734">
      <c r="A734" s="40"/>
      <c r="B734" s="35"/>
      <c r="C734" s="35"/>
      <c r="D734" s="35"/>
      <c r="E734" s="35"/>
    </row>
    <row r="735">
      <c r="A735" s="40"/>
      <c r="B735" s="35"/>
      <c r="C735" s="35"/>
      <c r="D735" s="35"/>
      <c r="E735" s="35"/>
    </row>
    <row r="736">
      <c r="A736" s="40"/>
      <c r="B736" s="35"/>
      <c r="C736" s="35"/>
      <c r="D736" s="35"/>
      <c r="E736" s="35"/>
    </row>
    <row r="737">
      <c r="A737" s="40"/>
      <c r="B737" s="35"/>
      <c r="C737" s="35"/>
      <c r="D737" s="35"/>
      <c r="E737" s="35"/>
    </row>
    <row r="738">
      <c r="A738" s="40"/>
      <c r="B738" s="35"/>
      <c r="C738" s="35"/>
      <c r="D738" s="35"/>
      <c r="E738" s="35"/>
    </row>
    <row r="739">
      <c r="A739" s="40"/>
      <c r="B739" s="35"/>
      <c r="C739" s="35"/>
      <c r="D739" s="35"/>
      <c r="E739" s="35"/>
    </row>
    <row r="740">
      <c r="A740" s="40"/>
      <c r="B740" s="35"/>
      <c r="C740" s="35"/>
      <c r="D740" s="35"/>
      <c r="E740" s="35"/>
    </row>
    <row r="741">
      <c r="A741" s="40"/>
      <c r="B741" s="35"/>
      <c r="C741" s="35"/>
      <c r="D741" s="35"/>
      <c r="E741" s="35"/>
    </row>
    <row r="742">
      <c r="A742" s="40"/>
      <c r="B742" s="35"/>
      <c r="C742" s="35"/>
      <c r="D742" s="35"/>
      <c r="E742" s="35"/>
    </row>
    <row r="743">
      <c r="A743" s="40"/>
      <c r="B743" s="35"/>
      <c r="C743" s="35"/>
      <c r="D743" s="35"/>
      <c r="E743" s="35"/>
    </row>
    <row r="744">
      <c r="A744" s="40"/>
      <c r="B744" s="35"/>
      <c r="C744" s="35"/>
      <c r="D744" s="35"/>
      <c r="E744" s="35"/>
    </row>
    <row r="745">
      <c r="A745" s="40"/>
      <c r="B745" s="35"/>
      <c r="C745" s="35"/>
      <c r="D745" s="35"/>
      <c r="E745" s="35"/>
    </row>
    <row r="746">
      <c r="A746" s="40"/>
      <c r="B746" s="35"/>
      <c r="C746" s="35"/>
      <c r="D746" s="35"/>
      <c r="E746" s="35"/>
    </row>
    <row r="747">
      <c r="A747" s="40"/>
      <c r="B747" s="35"/>
      <c r="C747" s="35"/>
      <c r="D747" s="35"/>
      <c r="E747" s="35"/>
    </row>
    <row r="748">
      <c r="A748" s="40"/>
      <c r="B748" s="35"/>
      <c r="C748" s="35"/>
      <c r="D748" s="35"/>
      <c r="E748" s="35"/>
    </row>
    <row r="749">
      <c r="A749" s="40"/>
      <c r="B749" s="35"/>
      <c r="C749" s="35"/>
      <c r="D749" s="35"/>
      <c r="E749" s="35"/>
    </row>
    <row r="750">
      <c r="A750" s="40"/>
      <c r="B750" s="35"/>
      <c r="C750" s="35"/>
      <c r="D750" s="35"/>
      <c r="E750" s="35"/>
    </row>
    <row r="751">
      <c r="A751" s="40"/>
      <c r="B751" s="35"/>
      <c r="C751" s="35"/>
      <c r="D751" s="35"/>
      <c r="E751" s="35"/>
    </row>
    <row r="752">
      <c r="A752" s="40"/>
      <c r="B752" s="35"/>
      <c r="C752" s="35"/>
      <c r="D752" s="35"/>
      <c r="E752" s="35"/>
    </row>
    <row r="753">
      <c r="A753" s="40"/>
      <c r="B753" s="35"/>
      <c r="C753" s="35"/>
      <c r="D753" s="35"/>
      <c r="E753" s="35"/>
    </row>
    <row r="754">
      <c r="A754" s="40"/>
      <c r="B754" s="35"/>
      <c r="C754" s="35"/>
      <c r="D754" s="35"/>
      <c r="E754" s="35"/>
    </row>
    <row r="755">
      <c r="A755" s="40"/>
      <c r="B755" s="35"/>
      <c r="C755" s="35"/>
      <c r="D755" s="35"/>
      <c r="E755" s="35"/>
    </row>
    <row r="756">
      <c r="A756" s="40"/>
      <c r="B756" s="35"/>
      <c r="C756" s="35"/>
      <c r="D756" s="35"/>
      <c r="E756" s="35"/>
    </row>
    <row r="757">
      <c r="A757" s="40"/>
      <c r="B757" s="35"/>
      <c r="C757" s="35"/>
      <c r="D757" s="35"/>
      <c r="E757" s="35"/>
    </row>
    <row r="758">
      <c r="A758" s="40"/>
      <c r="B758" s="35"/>
      <c r="C758" s="35"/>
      <c r="D758" s="35"/>
      <c r="E758" s="35"/>
    </row>
    <row r="759">
      <c r="A759" s="40"/>
      <c r="B759" s="35"/>
      <c r="C759" s="35"/>
      <c r="D759" s="35"/>
      <c r="E759" s="35"/>
    </row>
    <row r="760">
      <c r="A760" s="40"/>
      <c r="B760" s="35"/>
      <c r="C760" s="35"/>
      <c r="D760" s="35"/>
      <c r="E760" s="35"/>
    </row>
    <row r="761">
      <c r="A761" s="40"/>
      <c r="B761" s="35"/>
      <c r="C761" s="35"/>
      <c r="D761" s="35"/>
      <c r="E761" s="35"/>
    </row>
    <row r="762">
      <c r="A762" s="40"/>
      <c r="B762" s="35"/>
      <c r="C762" s="35"/>
      <c r="D762" s="35"/>
      <c r="E762" s="35"/>
    </row>
    <row r="763">
      <c r="A763" s="40"/>
      <c r="B763" s="35"/>
      <c r="C763" s="35"/>
      <c r="D763" s="35"/>
      <c r="E763" s="35"/>
    </row>
    <row r="764">
      <c r="A764" s="40"/>
      <c r="B764" s="35"/>
      <c r="C764" s="35"/>
      <c r="D764" s="35"/>
      <c r="E764" s="35"/>
    </row>
    <row r="765">
      <c r="A765" s="40"/>
      <c r="B765" s="35"/>
      <c r="C765" s="35"/>
      <c r="D765" s="35"/>
      <c r="E765" s="35"/>
    </row>
    <row r="766">
      <c r="A766" s="40"/>
      <c r="B766" s="35"/>
      <c r="C766" s="35"/>
      <c r="D766" s="35"/>
      <c r="E766" s="35"/>
    </row>
    <row r="767">
      <c r="A767" s="40"/>
      <c r="B767" s="35"/>
      <c r="C767" s="35"/>
      <c r="D767" s="35"/>
      <c r="E767" s="35"/>
    </row>
    <row r="768">
      <c r="A768" s="40"/>
      <c r="B768" s="35"/>
      <c r="C768" s="35"/>
      <c r="D768" s="35"/>
      <c r="E768" s="35"/>
    </row>
    <row r="769">
      <c r="A769" s="40"/>
      <c r="B769" s="35"/>
      <c r="C769" s="35"/>
      <c r="D769" s="35"/>
      <c r="E769" s="35"/>
    </row>
    <row r="770">
      <c r="A770" s="40"/>
      <c r="B770" s="35"/>
      <c r="C770" s="35"/>
      <c r="D770" s="35"/>
      <c r="E770" s="35"/>
    </row>
    <row r="771">
      <c r="A771" s="40"/>
      <c r="B771" s="35"/>
      <c r="C771" s="35"/>
      <c r="D771" s="35"/>
      <c r="E771" s="35"/>
    </row>
    <row r="772">
      <c r="A772" s="40"/>
      <c r="B772" s="35"/>
      <c r="C772" s="35"/>
      <c r="D772" s="35"/>
      <c r="E772" s="35"/>
    </row>
    <row r="773">
      <c r="A773" s="40"/>
      <c r="B773" s="35"/>
      <c r="C773" s="35"/>
      <c r="D773" s="35"/>
      <c r="E773" s="35"/>
    </row>
    <row r="774">
      <c r="A774" s="40"/>
      <c r="B774" s="35"/>
      <c r="C774" s="35"/>
      <c r="D774" s="35"/>
      <c r="E774" s="35"/>
    </row>
    <row r="775">
      <c r="A775" s="40"/>
      <c r="B775" s="35"/>
      <c r="C775" s="35"/>
      <c r="D775" s="35"/>
      <c r="E775" s="35"/>
    </row>
    <row r="776">
      <c r="A776" s="40"/>
      <c r="B776" s="35"/>
      <c r="C776" s="35"/>
      <c r="D776" s="35"/>
      <c r="E776" s="35"/>
    </row>
    <row r="777">
      <c r="A777" s="40"/>
      <c r="B777" s="35"/>
      <c r="C777" s="35"/>
      <c r="D777" s="35"/>
      <c r="E777" s="35"/>
    </row>
    <row r="778">
      <c r="A778" s="40"/>
      <c r="B778" s="35"/>
      <c r="C778" s="35"/>
      <c r="D778" s="35"/>
      <c r="E778" s="35"/>
    </row>
    <row r="779">
      <c r="A779" s="40"/>
      <c r="B779" s="35"/>
      <c r="C779" s="35"/>
      <c r="D779" s="35"/>
      <c r="E779" s="35"/>
    </row>
    <row r="780">
      <c r="A780" s="40"/>
      <c r="B780" s="35"/>
      <c r="C780" s="35"/>
      <c r="D780" s="35"/>
      <c r="E780" s="35"/>
    </row>
    <row r="781">
      <c r="A781" s="40"/>
      <c r="B781" s="35"/>
      <c r="C781" s="35"/>
      <c r="D781" s="35"/>
      <c r="E781" s="35"/>
    </row>
    <row r="782">
      <c r="A782" s="40"/>
      <c r="B782" s="35"/>
      <c r="C782" s="35"/>
      <c r="D782" s="35"/>
      <c r="E782" s="35"/>
    </row>
    <row r="783">
      <c r="A783" s="40"/>
      <c r="B783" s="35"/>
      <c r="C783" s="35"/>
      <c r="D783" s="35"/>
      <c r="E783" s="35"/>
    </row>
    <row r="784">
      <c r="A784" s="40"/>
      <c r="B784" s="35"/>
      <c r="C784" s="35"/>
      <c r="D784" s="35"/>
      <c r="E784" s="35"/>
    </row>
    <row r="785">
      <c r="A785" s="40"/>
      <c r="B785" s="35"/>
      <c r="C785" s="35"/>
      <c r="D785" s="35"/>
      <c r="E785" s="35"/>
    </row>
    <row r="786">
      <c r="A786" s="40"/>
      <c r="B786" s="35"/>
      <c r="C786" s="35"/>
      <c r="D786" s="35"/>
      <c r="E786" s="35"/>
    </row>
    <row r="787">
      <c r="A787" s="40"/>
      <c r="B787" s="35"/>
      <c r="C787" s="35"/>
      <c r="D787" s="35"/>
      <c r="E787" s="35"/>
    </row>
    <row r="788">
      <c r="A788" s="40"/>
      <c r="B788" s="35"/>
      <c r="C788" s="35"/>
      <c r="D788" s="35"/>
      <c r="E788" s="35"/>
    </row>
    <row r="789">
      <c r="A789" s="40"/>
      <c r="B789" s="35"/>
      <c r="C789" s="35"/>
      <c r="D789" s="35"/>
      <c r="E789" s="35"/>
    </row>
    <row r="790">
      <c r="A790" s="40"/>
      <c r="B790" s="35"/>
      <c r="C790" s="35"/>
      <c r="D790" s="35"/>
      <c r="E790" s="35"/>
    </row>
    <row r="791">
      <c r="A791" s="40"/>
      <c r="B791" s="35"/>
      <c r="C791" s="35"/>
      <c r="D791" s="35"/>
      <c r="E791" s="35"/>
    </row>
    <row r="792">
      <c r="A792" s="40"/>
      <c r="B792" s="35"/>
      <c r="C792" s="35"/>
      <c r="D792" s="35"/>
      <c r="E792" s="35"/>
    </row>
    <row r="793">
      <c r="A793" s="40"/>
      <c r="B793" s="35"/>
      <c r="C793" s="35"/>
      <c r="D793" s="35"/>
      <c r="E793" s="35"/>
    </row>
    <row r="794">
      <c r="A794" s="40"/>
      <c r="B794" s="35"/>
      <c r="C794" s="35"/>
      <c r="D794" s="35"/>
      <c r="E794" s="35"/>
    </row>
    <row r="795">
      <c r="A795" s="40"/>
      <c r="B795" s="35"/>
      <c r="C795" s="35"/>
      <c r="D795" s="35"/>
      <c r="E795" s="35"/>
    </row>
    <row r="796">
      <c r="A796" s="40"/>
      <c r="B796" s="35"/>
      <c r="C796" s="35"/>
      <c r="D796" s="35"/>
      <c r="E796" s="35"/>
    </row>
    <row r="797">
      <c r="A797" s="40"/>
      <c r="B797" s="35"/>
      <c r="C797" s="35"/>
      <c r="D797" s="35"/>
      <c r="E797" s="35"/>
    </row>
    <row r="798">
      <c r="A798" s="40"/>
      <c r="B798" s="35"/>
      <c r="C798" s="35"/>
      <c r="D798" s="35"/>
      <c r="E798" s="35"/>
    </row>
    <row r="799">
      <c r="A799" s="40"/>
      <c r="B799" s="35"/>
      <c r="C799" s="35"/>
      <c r="D799" s="35"/>
      <c r="E799" s="35"/>
    </row>
    <row r="800">
      <c r="A800" s="40"/>
      <c r="B800" s="35"/>
      <c r="C800" s="35"/>
      <c r="D800" s="35"/>
      <c r="E800" s="35"/>
    </row>
    <row r="801">
      <c r="A801" s="40"/>
      <c r="B801" s="35"/>
      <c r="C801" s="35"/>
      <c r="D801" s="35"/>
      <c r="E801" s="35"/>
    </row>
    <row r="802">
      <c r="A802" s="40"/>
      <c r="B802" s="35"/>
      <c r="C802" s="35"/>
      <c r="D802" s="35"/>
      <c r="E802" s="35"/>
    </row>
    <row r="803">
      <c r="A803" s="40"/>
      <c r="B803" s="35"/>
      <c r="C803" s="35"/>
      <c r="D803" s="35"/>
      <c r="E803" s="35"/>
    </row>
    <row r="804">
      <c r="A804" s="40"/>
      <c r="B804" s="35"/>
      <c r="C804" s="35"/>
      <c r="D804" s="35"/>
      <c r="E804" s="35"/>
    </row>
    <row r="805">
      <c r="A805" s="40"/>
      <c r="B805" s="35"/>
      <c r="C805" s="35"/>
      <c r="D805" s="35"/>
      <c r="E805" s="35"/>
    </row>
    <row r="806">
      <c r="A806" s="40"/>
      <c r="B806" s="35"/>
      <c r="C806" s="35"/>
      <c r="D806" s="35"/>
      <c r="E806" s="35"/>
    </row>
    <row r="807">
      <c r="A807" s="40"/>
      <c r="B807" s="35"/>
      <c r="C807" s="35"/>
      <c r="D807" s="35"/>
      <c r="E807" s="35"/>
    </row>
    <row r="808">
      <c r="A808" s="40"/>
      <c r="B808" s="35"/>
      <c r="C808" s="35"/>
      <c r="D808" s="35"/>
      <c r="E808" s="35"/>
    </row>
    <row r="809">
      <c r="A809" s="40"/>
      <c r="B809" s="35"/>
      <c r="C809" s="35"/>
      <c r="D809" s="35"/>
      <c r="E809" s="35"/>
    </row>
    <row r="810">
      <c r="A810" s="40"/>
      <c r="B810" s="35"/>
      <c r="C810" s="35"/>
      <c r="D810" s="35"/>
      <c r="E810" s="35"/>
    </row>
    <row r="811">
      <c r="A811" s="40"/>
      <c r="B811" s="35"/>
      <c r="C811" s="35"/>
      <c r="D811" s="35"/>
      <c r="E811" s="35"/>
    </row>
    <row r="812">
      <c r="A812" s="40"/>
      <c r="B812" s="35"/>
      <c r="C812" s="35"/>
      <c r="D812" s="35"/>
      <c r="E812" s="35"/>
    </row>
    <row r="813">
      <c r="A813" s="40"/>
      <c r="B813" s="35"/>
      <c r="C813" s="35"/>
      <c r="D813" s="35"/>
      <c r="E813" s="35"/>
    </row>
    <row r="814">
      <c r="A814" s="40"/>
      <c r="B814" s="35"/>
      <c r="C814" s="35"/>
      <c r="D814" s="35"/>
      <c r="E814" s="35"/>
    </row>
    <row r="815">
      <c r="A815" s="40"/>
      <c r="B815" s="35"/>
      <c r="C815" s="35"/>
      <c r="D815" s="35"/>
      <c r="E815" s="35"/>
    </row>
    <row r="816">
      <c r="A816" s="40"/>
      <c r="B816" s="35"/>
      <c r="C816" s="35"/>
      <c r="D816" s="35"/>
      <c r="E816" s="35"/>
    </row>
    <row r="817">
      <c r="A817" s="40"/>
      <c r="B817" s="35"/>
      <c r="C817" s="35"/>
      <c r="D817" s="35"/>
      <c r="E817" s="35"/>
    </row>
    <row r="818">
      <c r="A818" s="40"/>
      <c r="B818" s="35"/>
      <c r="C818" s="35"/>
      <c r="D818" s="35"/>
      <c r="E818" s="35"/>
    </row>
    <row r="819">
      <c r="A819" s="40"/>
      <c r="B819" s="35"/>
      <c r="C819" s="35"/>
      <c r="D819" s="35"/>
      <c r="E819" s="35"/>
    </row>
    <row r="820">
      <c r="A820" s="40"/>
      <c r="B820" s="35"/>
      <c r="C820" s="35"/>
      <c r="D820" s="35"/>
      <c r="E820" s="35"/>
    </row>
    <row r="821">
      <c r="A821" s="40"/>
      <c r="B821" s="35"/>
      <c r="C821" s="35"/>
      <c r="D821" s="35"/>
      <c r="E821" s="35"/>
    </row>
    <row r="822">
      <c r="A822" s="40"/>
      <c r="B822" s="35"/>
      <c r="C822" s="35"/>
      <c r="D822" s="35"/>
      <c r="E822" s="35"/>
    </row>
    <row r="823">
      <c r="A823" s="40"/>
      <c r="B823" s="35"/>
      <c r="C823" s="35"/>
      <c r="D823" s="35"/>
      <c r="E823" s="35"/>
    </row>
    <row r="824">
      <c r="A824" s="40"/>
      <c r="B824" s="35"/>
      <c r="C824" s="35"/>
      <c r="D824" s="35"/>
      <c r="E824" s="35"/>
    </row>
    <row r="825">
      <c r="A825" s="40"/>
      <c r="B825" s="35"/>
      <c r="C825" s="35"/>
      <c r="D825" s="35"/>
      <c r="E825" s="35"/>
    </row>
    <row r="826">
      <c r="A826" s="40"/>
      <c r="B826" s="35"/>
      <c r="C826" s="35"/>
      <c r="D826" s="35"/>
      <c r="E826" s="35"/>
    </row>
    <row r="827">
      <c r="A827" s="40"/>
      <c r="B827" s="35"/>
      <c r="C827" s="35"/>
      <c r="D827" s="35"/>
      <c r="E827" s="35"/>
    </row>
    <row r="828">
      <c r="A828" s="40"/>
      <c r="B828" s="35"/>
      <c r="C828" s="35"/>
      <c r="D828" s="35"/>
      <c r="E828" s="35"/>
    </row>
    <row r="829">
      <c r="A829" s="40"/>
      <c r="B829" s="35"/>
      <c r="C829" s="35"/>
      <c r="D829" s="35"/>
      <c r="E829" s="35"/>
    </row>
    <row r="830">
      <c r="A830" s="40"/>
      <c r="B830" s="35"/>
      <c r="C830" s="35"/>
      <c r="D830" s="35"/>
      <c r="E830" s="35"/>
    </row>
    <row r="831">
      <c r="A831" s="40"/>
      <c r="B831" s="35"/>
      <c r="C831" s="35"/>
      <c r="D831" s="35"/>
      <c r="E831" s="35"/>
    </row>
    <row r="832">
      <c r="A832" s="40"/>
      <c r="B832" s="35"/>
      <c r="C832" s="35"/>
      <c r="D832" s="35"/>
      <c r="E832" s="35"/>
    </row>
    <row r="833">
      <c r="A833" s="40"/>
      <c r="B833" s="35"/>
      <c r="C833" s="35"/>
      <c r="D833" s="35"/>
      <c r="E833" s="35"/>
    </row>
    <row r="834">
      <c r="A834" s="40"/>
      <c r="B834" s="35"/>
      <c r="C834" s="35"/>
      <c r="D834" s="35"/>
      <c r="E834" s="35"/>
    </row>
    <row r="835">
      <c r="A835" s="40"/>
      <c r="B835" s="35"/>
      <c r="C835" s="35"/>
      <c r="D835" s="35"/>
      <c r="E835" s="35"/>
    </row>
    <row r="836">
      <c r="A836" s="40"/>
      <c r="B836" s="35"/>
      <c r="C836" s="35"/>
      <c r="D836" s="35"/>
      <c r="E836" s="35"/>
    </row>
    <row r="837">
      <c r="A837" s="40"/>
      <c r="B837" s="35"/>
      <c r="C837" s="35"/>
      <c r="D837" s="35"/>
      <c r="E837" s="35"/>
    </row>
    <row r="838">
      <c r="A838" s="40"/>
      <c r="B838" s="35"/>
      <c r="C838" s="35"/>
      <c r="D838" s="35"/>
      <c r="E838" s="35"/>
    </row>
    <row r="839">
      <c r="A839" s="40"/>
      <c r="B839" s="35"/>
      <c r="C839" s="35"/>
      <c r="D839" s="35"/>
      <c r="E839" s="35"/>
    </row>
    <row r="840">
      <c r="A840" s="40"/>
      <c r="B840" s="35"/>
      <c r="C840" s="35"/>
      <c r="D840" s="35"/>
      <c r="E840" s="35"/>
    </row>
    <row r="841">
      <c r="A841" s="40"/>
      <c r="B841" s="35"/>
      <c r="C841" s="35"/>
      <c r="D841" s="35"/>
      <c r="E841" s="35"/>
    </row>
    <row r="842">
      <c r="A842" s="40"/>
      <c r="B842" s="35"/>
      <c r="C842" s="35"/>
      <c r="D842" s="35"/>
      <c r="E842" s="35"/>
    </row>
    <row r="843">
      <c r="A843" s="40"/>
      <c r="B843" s="35"/>
      <c r="C843" s="35"/>
      <c r="D843" s="35"/>
      <c r="E843" s="35"/>
    </row>
    <row r="844">
      <c r="A844" s="40"/>
      <c r="B844" s="35"/>
      <c r="C844" s="35"/>
      <c r="D844" s="35"/>
      <c r="E844" s="35"/>
    </row>
    <row r="845">
      <c r="A845" s="40"/>
      <c r="B845" s="35"/>
      <c r="C845" s="35"/>
      <c r="D845" s="35"/>
      <c r="E845" s="35"/>
    </row>
    <row r="846">
      <c r="A846" s="40"/>
      <c r="B846" s="35"/>
      <c r="C846" s="35"/>
      <c r="D846" s="35"/>
      <c r="E846" s="35"/>
    </row>
    <row r="847">
      <c r="A847" s="40"/>
      <c r="B847" s="35"/>
      <c r="C847" s="35"/>
      <c r="D847" s="35"/>
      <c r="E847" s="35"/>
    </row>
    <row r="848">
      <c r="A848" s="40"/>
      <c r="B848" s="35"/>
      <c r="C848" s="35"/>
      <c r="D848" s="35"/>
      <c r="E848" s="35"/>
    </row>
    <row r="849">
      <c r="A849" s="40"/>
      <c r="B849" s="35"/>
      <c r="C849" s="35"/>
      <c r="D849" s="35"/>
      <c r="E849" s="35"/>
    </row>
    <row r="850">
      <c r="A850" s="40"/>
      <c r="B850" s="35"/>
      <c r="C850" s="35"/>
      <c r="D850" s="35"/>
      <c r="E850" s="35"/>
    </row>
    <row r="851">
      <c r="A851" s="40"/>
      <c r="B851" s="35"/>
      <c r="C851" s="35"/>
      <c r="D851" s="35"/>
      <c r="E851" s="35"/>
    </row>
    <row r="852">
      <c r="A852" s="40"/>
      <c r="B852" s="35"/>
      <c r="C852" s="35"/>
      <c r="D852" s="35"/>
      <c r="E852" s="35"/>
    </row>
    <row r="853">
      <c r="A853" s="40"/>
      <c r="B853" s="35"/>
      <c r="C853" s="35"/>
      <c r="D853" s="35"/>
      <c r="E853" s="35"/>
    </row>
    <row r="854">
      <c r="A854" s="40"/>
      <c r="B854" s="35"/>
      <c r="C854" s="35"/>
      <c r="D854" s="35"/>
      <c r="E854" s="35"/>
    </row>
    <row r="855">
      <c r="A855" s="40"/>
      <c r="B855" s="35"/>
      <c r="C855" s="35"/>
      <c r="D855" s="35"/>
      <c r="E855" s="35"/>
    </row>
    <row r="856">
      <c r="A856" s="40"/>
      <c r="B856" s="35"/>
      <c r="C856" s="35"/>
      <c r="D856" s="35"/>
      <c r="E856" s="35"/>
    </row>
    <row r="857">
      <c r="A857" s="40"/>
      <c r="B857" s="35"/>
      <c r="C857" s="35"/>
      <c r="D857" s="35"/>
      <c r="E857" s="35"/>
    </row>
    <row r="858">
      <c r="A858" s="40"/>
      <c r="B858" s="35"/>
      <c r="C858" s="35"/>
      <c r="D858" s="35"/>
      <c r="E858" s="35"/>
    </row>
    <row r="859">
      <c r="A859" s="40"/>
      <c r="B859" s="35"/>
      <c r="C859" s="35"/>
      <c r="D859" s="35"/>
      <c r="E859" s="35"/>
    </row>
    <row r="860">
      <c r="A860" s="40"/>
      <c r="B860" s="35"/>
      <c r="C860" s="35"/>
      <c r="D860" s="35"/>
      <c r="E860" s="35"/>
    </row>
    <row r="861">
      <c r="A861" s="40"/>
      <c r="B861" s="35"/>
      <c r="C861" s="35"/>
      <c r="D861" s="35"/>
      <c r="E861" s="35"/>
    </row>
    <row r="862">
      <c r="A862" s="40"/>
      <c r="B862" s="35"/>
      <c r="C862" s="35"/>
      <c r="D862" s="35"/>
      <c r="E862" s="35"/>
    </row>
    <row r="863">
      <c r="A863" s="40"/>
      <c r="B863" s="35"/>
      <c r="C863" s="35"/>
      <c r="D863" s="35"/>
      <c r="E863" s="35"/>
    </row>
    <row r="864">
      <c r="A864" s="40"/>
      <c r="B864" s="35"/>
      <c r="C864" s="35"/>
      <c r="D864" s="35"/>
      <c r="E864" s="35"/>
    </row>
    <row r="865">
      <c r="A865" s="40"/>
      <c r="B865" s="35"/>
      <c r="C865" s="35"/>
      <c r="D865" s="35"/>
      <c r="E865" s="35"/>
    </row>
    <row r="866">
      <c r="A866" s="40"/>
      <c r="B866" s="35"/>
      <c r="C866" s="35"/>
      <c r="D866" s="35"/>
      <c r="E866" s="35"/>
    </row>
    <row r="867">
      <c r="A867" s="40"/>
      <c r="B867" s="35"/>
      <c r="C867" s="35"/>
      <c r="D867" s="35"/>
      <c r="E867" s="35"/>
    </row>
    <row r="868">
      <c r="A868" s="40"/>
      <c r="B868" s="35"/>
      <c r="C868" s="35"/>
      <c r="D868" s="35"/>
      <c r="E868" s="35"/>
    </row>
    <row r="869">
      <c r="A869" s="40"/>
      <c r="B869" s="35"/>
      <c r="C869" s="35"/>
      <c r="D869" s="35"/>
      <c r="E869" s="35"/>
    </row>
    <row r="870">
      <c r="A870" s="40"/>
      <c r="B870" s="35"/>
      <c r="C870" s="35"/>
      <c r="D870" s="35"/>
      <c r="E870" s="35"/>
    </row>
    <row r="871">
      <c r="A871" s="40"/>
      <c r="B871" s="35"/>
      <c r="C871" s="35"/>
      <c r="D871" s="35"/>
      <c r="E871" s="35"/>
    </row>
    <row r="872">
      <c r="A872" s="40"/>
      <c r="B872" s="35"/>
      <c r="C872" s="35"/>
      <c r="D872" s="35"/>
      <c r="E872" s="35"/>
    </row>
    <row r="873">
      <c r="A873" s="40"/>
      <c r="B873" s="35"/>
      <c r="C873" s="35"/>
      <c r="D873" s="35"/>
      <c r="E873" s="35"/>
    </row>
    <row r="874">
      <c r="A874" s="40"/>
      <c r="B874" s="35"/>
      <c r="C874" s="35"/>
      <c r="D874" s="35"/>
      <c r="E874" s="35"/>
    </row>
    <row r="875">
      <c r="A875" s="40"/>
      <c r="B875" s="35"/>
      <c r="C875" s="35"/>
      <c r="D875" s="35"/>
      <c r="E875" s="35"/>
    </row>
    <row r="876">
      <c r="A876" s="40"/>
      <c r="B876" s="35"/>
      <c r="C876" s="35"/>
      <c r="D876" s="35"/>
      <c r="E876" s="35"/>
    </row>
    <row r="877">
      <c r="A877" s="40"/>
      <c r="B877" s="35"/>
      <c r="C877" s="35"/>
      <c r="D877" s="35"/>
      <c r="E877" s="35"/>
    </row>
    <row r="878">
      <c r="A878" s="40"/>
      <c r="B878" s="35"/>
      <c r="C878" s="35"/>
      <c r="D878" s="35"/>
      <c r="E878" s="35"/>
    </row>
    <row r="879">
      <c r="A879" s="40"/>
      <c r="B879" s="35"/>
      <c r="C879" s="35"/>
      <c r="D879" s="35"/>
      <c r="E879" s="35"/>
    </row>
    <row r="880">
      <c r="A880" s="40"/>
      <c r="B880" s="35"/>
      <c r="C880" s="35"/>
      <c r="D880" s="35"/>
      <c r="E880" s="35"/>
    </row>
    <row r="881">
      <c r="A881" s="40"/>
      <c r="B881" s="35"/>
      <c r="C881" s="35"/>
      <c r="D881" s="35"/>
      <c r="E881" s="35"/>
    </row>
    <row r="882">
      <c r="A882" s="40"/>
      <c r="B882" s="35"/>
      <c r="C882" s="35"/>
      <c r="D882" s="35"/>
      <c r="E882" s="35"/>
    </row>
    <row r="883">
      <c r="A883" s="40"/>
      <c r="B883" s="35"/>
      <c r="C883" s="35"/>
      <c r="D883" s="35"/>
      <c r="E883" s="35"/>
    </row>
    <row r="884">
      <c r="A884" s="40"/>
      <c r="B884" s="35"/>
      <c r="C884" s="35"/>
      <c r="D884" s="35"/>
      <c r="E884" s="35"/>
    </row>
    <row r="885">
      <c r="A885" s="40"/>
      <c r="B885" s="35"/>
      <c r="C885" s="35"/>
      <c r="D885" s="35"/>
      <c r="E885" s="35"/>
    </row>
    <row r="886">
      <c r="A886" s="40"/>
      <c r="B886" s="35"/>
      <c r="C886" s="35"/>
      <c r="D886" s="35"/>
      <c r="E886" s="35"/>
    </row>
    <row r="887">
      <c r="A887" s="40"/>
      <c r="B887" s="35"/>
      <c r="C887" s="35"/>
      <c r="D887" s="35"/>
      <c r="E887" s="35"/>
    </row>
    <row r="888">
      <c r="A888" s="40"/>
      <c r="B888" s="35"/>
      <c r="C888" s="35"/>
      <c r="D888" s="35"/>
      <c r="E888" s="35"/>
    </row>
    <row r="889">
      <c r="A889" s="40"/>
      <c r="B889" s="35"/>
      <c r="C889" s="35"/>
      <c r="D889" s="35"/>
      <c r="E889" s="35"/>
    </row>
    <row r="890">
      <c r="A890" s="40"/>
      <c r="B890" s="35"/>
      <c r="C890" s="35"/>
      <c r="D890" s="35"/>
      <c r="E890" s="35"/>
    </row>
    <row r="891">
      <c r="A891" s="40"/>
      <c r="B891" s="35"/>
      <c r="C891" s="35"/>
      <c r="D891" s="35"/>
      <c r="E891" s="35"/>
    </row>
    <row r="892">
      <c r="A892" s="40"/>
      <c r="B892" s="35"/>
      <c r="C892" s="35"/>
      <c r="D892" s="35"/>
      <c r="E892" s="35"/>
    </row>
    <row r="893">
      <c r="A893" s="40"/>
      <c r="B893" s="35"/>
      <c r="C893" s="35"/>
      <c r="D893" s="35"/>
      <c r="E893" s="35"/>
    </row>
    <row r="894">
      <c r="A894" s="40"/>
      <c r="B894" s="35"/>
      <c r="C894" s="35"/>
      <c r="D894" s="35"/>
      <c r="E894" s="35"/>
    </row>
    <row r="895">
      <c r="A895" s="40"/>
      <c r="B895" s="35"/>
      <c r="C895" s="35"/>
      <c r="D895" s="35"/>
      <c r="E895" s="35"/>
    </row>
    <row r="896">
      <c r="A896" s="40"/>
      <c r="B896" s="35"/>
      <c r="C896" s="35"/>
      <c r="D896" s="35"/>
      <c r="E896" s="35"/>
    </row>
    <row r="897">
      <c r="A897" s="40"/>
      <c r="B897" s="35"/>
      <c r="C897" s="35"/>
      <c r="D897" s="35"/>
      <c r="E897" s="35"/>
    </row>
    <row r="898">
      <c r="A898" s="40"/>
      <c r="B898" s="35"/>
      <c r="C898" s="35"/>
      <c r="D898" s="35"/>
      <c r="E898" s="35"/>
    </row>
    <row r="899">
      <c r="A899" s="40"/>
      <c r="B899" s="35"/>
      <c r="C899" s="35"/>
      <c r="D899" s="35"/>
      <c r="E899" s="35"/>
    </row>
    <row r="900">
      <c r="A900" s="40"/>
      <c r="B900" s="35"/>
      <c r="C900" s="35"/>
      <c r="D900" s="35"/>
      <c r="E900" s="35"/>
    </row>
    <row r="901">
      <c r="A901" s="40"/>
      <c r="B901" s="35"/>
      <c r="C901" s="35"/>
      <c r="D901" s="35"/>
      <c r="E901" s="35"/>
    </row>
    <row r="902">
      <c r="A902" s="40"/>
      <c r="B902" s="35"/>
      <c r="C902" s="35"/>
      <c r="D902" s="35"/>
      <c r="E902" s="35"/>
    </row>
    <row r="903">
      <c r="A903" s="40"/>
      <c r="B903" s="35"/>
      <c r="C903" s="35"/>
      <c r="D903" s="35"/>
      <c r="E903" s="35"/>
    </row>
    <row r="904">
      <c r="A904" s="40"/>
      <c r="B904" s="35"/>
      <c r="C904" s="35"/>
      <c r="D904" s="35"/>
      <c r="E904" s="35"/>
    </row>
    <row r="905">
      <c r="A905" s="40"/>
      <c r="B905" s="35"/>
      <c r="C905" s="35"/>
      <c r="D905" s="35"/>
      <c r="E905" s="35"/>
    </row>
    <row r="906">
      <c r="A906" s="40"/>
      <c r="B906" s="35"/>
      <c r="C906" s="35"/>
      <c r="D906" s="35"/>
      <c r="E906" s="35"/>
    </row>
    <row r="907">
      <c r="A907" s="40"/>
      <c r="B907" s="35"/>
      <c r="C907" s="35"/>
      <c r="D907" s="35"/>
      <c r="E907" s="35"/>
    </row>
    <row r="908">
      <c r="A908" s="40"/>
      <c r="B908" s="35"/>
      <c r="C908" s="35"/>
      <c r="D908" s="35"/>
      <c r="E908" s="35"/>
    </row>
    <row r="909">
      <c r="A909" s="40"/>
      <c r="B909" s="35"/>
      <c r="C909" s="35"/>
      <c r="D909" s="35"/>
      <c r="E909" s="35"/>
    </row>
    <row r="910">
      <c r="A910" s="40"/>
      <c r="B910" s="35"/>
      <c r="C910" s="35"/>
      <c r="D910" s="35"/>
      <c r="E910" s="35"/>
    </row>
    <row r="911">
      <c r="A911" s="40"/>
      <c r="B911" s="35"/>
      <c r="C911" s="35"/>
      <c r="D911" s="35"/>
      <c r="E911" s="35"/>
    </row>
    <row r="912">
      <c r="A912" s="40"/>
      <c r="B912" s="35"/>
      <c r="C912" s="35"/>
      <c r="D912" s="35"/>
      <c r="E912" s="35"/>
    </row>
    <row r="913">
      <c r="A913" s="40"/>
      <c r="B913" s="35"/>
      <c r="C913" s="35"/>
      <c r="D913" s="35"/>
      <c r="E913" s="35"/>
    </row>
    <row r="914">
      <c r="A914" s="40"/>
      <c r="B914" s="35"/>
      <c r="C914" s="35"/>
      <c r="D914" s="35"/>
      <c r="E914" s="35"/>
    </row>
    <row r="915">
      <c r="A915" s="40"/>
      <c r="B915" s="35"/>
      <c r="C915" s="35"/>
      <c r="D915" s="35"/>
      <c r="E915" s="35"/>
    </row>
    <row r="916">
      <c r="A916" s="40"/>
      <c r="B916" s="35"/>
      <c r="C916" s="35"/>
      <c r="D916" s="35"/>
      <c r="E916" s="35"/>
    </row>
    <row r="917">
      <c r="A917" s="40"/>
      <c r="B917" s="35"/>
      <c r="C917" s="35"/>
      <c r="D917" s="35"/>
      <c r="E917" s="35"/>
    </row>
    <row r="918">
      <c r="A918" s="40"/>
      <c r="B918" s="35"/>
      <c r="C918" s="35"/>
      <c r="D918" s="35"/>
      <c r="E918" s="35"/>
    </row>
    <row r="919">
      <c r="A919" s="40"/>
      <c r="B919" s="35"/>
      <c r="C919" s="35"/>
      <c r="D919" s="35"/>
      <c r="E919" s="35"/>
    </row>
    <row r="920">
      <c r="A920" s="40"/>
      <c r="B920" s="35"/>
      <c r="C920" s="35"/>
      <c r="D920" s="35"/>
      <c r="E920" s="35"/>
    </row>
    <row r="921">
      <c r="A921" s="40"/>
      <c r="B921" s="35"/>
      <c r="C921" s="35"/>
      <c r="D921" s="35"/>
      <c r="E921" s="35"/>
    </row>
    <row r="922">
      <c r="A922" s="40"/>
      <c r="B922" s="35"/>
      <c r="C922" s="35"/>
      <c r="D922" s="35"/>
      <c r="E922" s="35"/>
    </row>
    <row r="923">
      <c r="A923" s="40"/>
      <c r="B923" s="35"/>
      <c r="C923" s="35"/>
      <c r="D923" s="35"/>
      <c r="E923" s="35"/>
    </row>
    <row r="924">
      <c r="A924" s="40"/>
      <c r="B924" s="35"/>
      <c r="C924" s="35"/>
      <c r="D924" s="35"/>
      <c r="E924" s="35"/>
    </row>
    <row r="925">
      <c r="A925" s="40"/>
      <c r="B925" s="35"/>
      <c r="C925" s="35"/>
      <c r="D925" s="35"/>
      <c r="E925" s="35"/>
    </row>
    <row r="926">
      <c r="A926" s="40"/>
      <c r="B926" s="35"/>
      <c r="C926" s="35"/>
      <c r="D926" s="35"/>
      <c r="E926" s="35"/>
    </row>
    <row r="927">
      <c r="A927" s="40"/>
      <c r="B927" s="35"/>
      <c r="C927" s="35"/>
      <c r="D927" s="35"/>
      <c r="E927" s="35"/>
    </row>
    <row r="928">
      <c r="A928" s="40"/>
      <c r="B928" s="35"/>
      <c r="C928" s="35"/>
      <c r="D928" s="35"/>
      <c r="E928" s="35"/>
    </row>
    <row r="929">
      <c r="A929" s="40"/>
      <c r="B929" s="35"/>
      <c r="C929" s="35"/>
      <c r="D929" s="35"/>
      <c r="E929" s="35"/>
    </row>
    <row r="930">
      <c r="A930" s="40"/>
      <c r="B930" s="35"/>
      <c r="C930" s="35"/>
      <c r="D930" s="35"/>
      <c r="E930" s="35"/>
    </row>
    <row r="931">
      <c r="A931" s="40"/>
      <c r="B931" s="35"/>
      <c r="C931" s="35"/>
      <c r="D931" s="35"/>
      <c r="E931" s="35"/>
    </row>
    <row r="932">
      <c r="A932" s="40"/>
      <c r="B932" s="35"/>
      <c r="C932" s="35"/>
      <c r="D932" s="35"/>
      <c r="E932" s="35"/>
    </row>
    <row r="933">
      <c r="A933" s="40"/>
      <c r="B933" s="35"/>
      <c r="C933" s="35"/>
      <c r="D933" s="35"/>
      <c r="E933" s="35"/>
    </row>
    <row r="934">
      <c r="A934" s="40"/>
      <c r="B934" s="35"/>
      <c r="C934" s="35"/>
      <c r="D934" s="35"/>
      <c r="E934" s="35"/>
    </row>
    <row r="935">
      <c r="A935" s="40"/>
      <c r="B935" s="35"/>
      <c r="C935" s="35"/>
      <c r="D935" s="35"/>
      <c r="E935" s="35"/>
    </row>
    <row r="936">
      <c r="A936" s="40"/>
      <c r="B936" s="35"/>
      <c r="C936" s="35"/>
      <c r="D936" s="35"/>
      <c r="E936" s="35"/>
    </row>
    <row r="937">
      <c r="A937" s="40"/>
      <c r="B937" s="35"/>
      <c r="C937" s="35"/>
      <c r="D937" s="35"/>
      <c r="E937" s="35"/>
    </row>
    <row r="938">
      <c r="A938" s="40"/>
      <c r="B938" s="35"/>
      <c r="C938" s="35"/>
      <c r="D938" s="35"/>
      <c r="E938" s="35"/>
    </row>
    <row r="939">
      <c r="A939" s="40"/>
      <c r="B939" s="35"/>
      <c r="C939" s="35"/>
      <c r="D939" s="35"/>
      <c r="E939" s="35"/>
    </row>
    <row r="940">
      <c r="A940" s="40"/>
      <c r="B940" s="35"/>
      <c r="C940" s="35"/>
      <c r="D940" s="35"/>
      <c r="E940" s="35"/>
    </row>
    <row r="941">
      <c r="A941" s="40"/>
      <c r="B941" s="35"/>
      <c r="C941" s="35"/>
      <c r="D941" s="35"/>
      <c r="E941" s="35"/>
    </row>
    <row r="942">
      <c r="A942" s="40"/>
      <c r="B942" s="35"/>
      <c r="C942" s="35"/>
      <c r="D942" s="35"/>
      <c r="E942" s="35"/>
    </row>
    <row r="943">
      <c r="A943" s="40"/>
      <c r="B943" s="35"/>
      <c r="C943" s="35"/>
      <c r="D943" s="35"/>
      <c r="E943" s="35"/>
    </row>
    <row r="944">
      <c r="A944" s="40"/>
      <c r="B944" s="35"/>
      <c r="C944" s="35"/>
      <c r="D944" s="35"/>
      <c r="E944" s="35"/>
    </row>
    <row r="945">
      <c r="A945" s="40"/>
      <c r="B945" s="35"/>
      <c r="C945" s="35"/>
      <c r="D945" s="35"/>
      <c r="E945" s="35"/>
    </row>
    <row r="946">
      <c r="A946" s="40"/>
      <c r="B946" s="35"/>
      <c r="C946" s="35"/>
      <c r="D946" s="35"/>
      <c r="E946" s="35"/>
    </row>
    <row r="947">
      <c r="A947" s="40"/>
      <c r="B947" s="35"/>
      <c r="C947" s="35"/>
      <c r="D947" s="35"/>
      <c r="E947" s="35"/>
    </row>
    <row r="948">
      <c r="A948" s="40"/>
      <c r="B948" s="35"/>
      <c r="C948" s="35"/>
      <c r="D948" s="35"/>
      <c r="E948" s="35"/>
    </row>
    <row r="949">
      <c r="A949" s="40"/>
      <c r="B949" s="35"/>
      <c r="C949" s="35"/>
      <c r="D949" s="35"/>
      <c r="E949" s="35"/>
    </row>
    <row r="950">
      <c r="A950" s="40"/>
      <c r="B950" s="35"/>
      <c r="C950" s="35"/>
      <c r="D950" s="35"/>
      <c r="E950" s="35"/>
    </row>
    <row r="951">
      <c r="A951" s="40"/>
      <c r="B951" s="35"/>
      <c r="C951" s="35"/>
      <c r="D951" s="35"/>
      <c r="E951" s="35"/>
    </row>
    <row r="952">
      <c r="A952" s="40"/>
      <c r="B952" s="35"/>
      <c r="C952" s="35"/>
      <c r="D952" s="35"/>
      <c r="E952" s="35"/>
    </row>
    <row r="953">
      <c r="A953" s="40"/>
      <c r="B953" s="35"/>
      <c r="C953" s="35"/>
      <c r="D953" s="35"/>
      <c r="E953" s="35"/>
    </row>
    <row r="954">
      <c r="A954" s="40"/>
      <c r="B954" s="35"/>
      <c r="C954" s="35"/>
      <c r="D954" s="35"/>
      <c r="E954" s="35"/>
    </row>
    <row r="955">
      <c r="A955" s="40"/>
      <c r="B955" s="35"/>
      <c r="C955" s="35"/>
      <c r="D955" s="35"/>
      <c r="E955" s="35"/>
    </row>
    <row r="956">
      <c r="A956" s="40"/>
      <c r="B956" s="35"/>
      <c r="C956" s="35"/>
      <c r="D956" s="35"/>
      <c r="E956" s="35"/>
    </row>
    <row r="957">
      <c r="A957" s="40"/>
      <c r="B957" s="35"/>
      <c r="C957" s="35"/>
      <c r="D957" s="35"/>
      <c r="E957" s="35"/>
    </row>
    <row r="958">
      <c r="A958" s="40"/>
      <c r="B958" s="35"/>
      <c r="C958" s="35"/>
      <c r="D958" s="35"/>
      <c r="E958" s="35"/>
    </row>
    <row r="959">
      <c r="A959" s="40"/>
      <c r="B959" s="35"/>
      <c r="C959" s="35"/>
      <c r="D959" s="35"/>
      <c r="E959" s="35"/>
    </row>
    <row r="960">
      <c r="A960" s="40"/>
      <c r="B960" s="35"/>
      <c r="C960" s="35"/>
      <c r="D960" s="35"/>
      <c r="E960" s="35"/>
    </row>
    <row r="961">
      <c r="A961" s="40"/>
      <c r="B961" s="35"/>
      <c r="C961" s="35"/>
      <c r="D961" s="35"/>
      <c r="E961" s="35"/>
    </row>
    <row r="962">
      <c r="A962" s="40"/>
      <c r="B962" s="35"/>
      <c r="C962" s="35"/>
      <c r="D962" s="35"/>
      <c r="E962" s="35"/>
    </row>
    <row r="963">
      <c r="A963" s="40"/>
      <c r="B963" s="35"/>
      <c r="C963" s="35"/>
      <c r="D963" s="35"/>
      <c r="E963" s="35"/>
    </row>
    <row r="964">
      <c r="A964" s="40"/>
      <c r="B964" s="35"/>
      <c r="C964" s="35"/>
      <c r="D964" s="35"/>
      <c r="E964" s="35"/>
    </row>
    <row r="965">
      <c r="A965" s="40"/>
      <c r="B965" s="35"/>
      <c r="C965" s="35"/>
      <c r="D965" s="35"/>
      <c r="E965" s="35"/>
    </row>
    <row r="966">
      <c r="A966" s="40"/>
      <c r="B966" s="35"/>
      <c r="C966" s="35"/>
      <c r="D966" s="35"/>
      <c r="E966" s="35"/>
    </row>
    <row r="967">
      <c r="A967" s="40"/>
      <c r="B967" s="35"/>
      <c r="C967" s="35"/>
      <c r="D967" s="35"/>
      <c r="E967" s="35"/>
    </row>
    <row r="968">
      <c r="A968" s="40"/>
      <c r="B968" s="35"/>
      <c r="C968" s="35"/>
      <c r="D968" s="35"/>
      <c r="E968" s="35"/>
    </row>
    <row r="969">
      <c r="A969" s="40"/>
      <c r="B969" s="35"/>
      <c r="C969" s="35"/>
      <c r="D969" s="35"/>
      <c r="E969" s="35"/>
    </row>
    <row r="970">
      <c r="A970" s="40"/>
      <c r="B970" s="35"/>
      <c r="C970" s="35"/>
      <c r="D970" s="35"/>
      <c r="E970" s="35"/>
    </row>
    <row r="971">
      <c r="A971" s="40"/>
      <c r="B971" s="35"/>
      <c r="C971" s="35"/>
      <c r="D971" s="35"/>
      <c r="E971" s="35"/>
    </row>
    <row r="972">
      <c r="A972" s="40"/>
      <c r="B972" s="35"/>
      <c r="C972" s="35"/>
      <c r="D972" s="35"/>
      <c r="E972" s="35"/>
    </row>
    <row r="973">
      <c r="A973" s="40"/>
      <c r="B973" s="35"/>
      <c r="C973" s="35"/>
      <c r="D973" s="35"/>
      <c r="E973" s="35"/>
    </row>
    <row r="974">
      <c r="A974" s="40"/>
      <c r="B974" s="35"/>
      <c r="C974" s="35"/>
      <c r="D974" s="35"/>
      <c r="E974" s="35"/>
    </row>
    <row r="975">
      <c r="A975" s="40"/>
      <c r="B975" s="35"/>
      <c r="C975" s="35"/>
      <c r="D975" s="35"/>
      <c r="E975" s="35"/>
    </row>
    <row r="976">
      <c r="A976" s="40"/>
      <c r="B976" s="35"/>
      <c r="C976" s="35"/>
      <c r="D976" s="35"/>
      <c r="E976" s="35"/>
    </row>
    <row r="977">
      <c r="A977" s="40"/>
      <c r="B977" s="35"/>
      <c r="C977" s="35"/>
      <c r="D977" s="35"/>
      <c r="E977" s="35"/>
    </row>
    <row r="978">
      <c r="A978" s="40"/>
      <c r="B978" s="35"/>
      <c r="C978" s="35"/>
      <c r="D978" s="35"/>
      <c r="E978" s="35"/>
    </row>
    <row r="979">
      <c r="A979" s="40"/>
      <c r="B979" s="35"/>
      <c r="C979" s="35"/>
      <c r="D979" s="35"/>
      <c r="E979" s="35"/>
    </row>
    <row r="980">
      <c r="A980" s="40"/>
      <c r="B980" s="35"/>
      <c r="C980" s="35"/>
      <c r="D980" s="35"/>
      <c r="E980" s="35"/>
    </row>
    <row r="981">
      <c r="A981" s="40"/>
      <c r="B981" s="35"/>
      <c r="C981" s="35"/>
      <c r="D981" s="35"/>
      <c r="E981" s="35"/>
    </row>
    <row r="982">
      <c r="A982" s="40"/>
      <c r="B982" s="35"/>
      <c r="C982" s="35"/>
      <c r="D982" s="35"/>
      <c r="E982" s="35"/>
    </row>
    <row r="983">
      <c r="A983" s="40"/>
      <c r="B983" s="35"/>
      <c r="C983" s="35"/>
      <c r="D983" s="35"/>
      <c r="E983" s="35"/>
    </row>
    <row r="984">
      <c r="A984" s="40"/>
      <c r="B984" s="35"/>
      <c r="C984" s="35"/>
      <c r="D984" s="35"/>
      <c r="E984" s="35"/>
    </row>
    <row r="985">
      <c r="A985" s="40"/>
      <c r="B985" s="35"/>
      <c r="C985" s="35"/>
      <c r="D985" s="35"/>
      <c r="E985" s="35"/>
    </row>
    <row r="986">
      <c r="A986" s="40"/>
      <c r="B986" s="35"/>
      <c r="C986" s="35"/>
      <c r="D986" s="35"/>
      <c r="E986" s="35"/>
    </row>
    <row r="987">
      <c r="A987" s="40"/>
      <c r="B987" s="35"/>
      <c r="C987" s="35"/>
      <c r="D987" s="35"/>
      <c r="E987" s="35"/>
    </row>
    <row r="988">
      <c r="A988" s="40"/>
      <c r="B988" s="35"/>
      <c r="C988" s="35"/>
      <c r="D988" s="35"/>
      <c r="E988" s="35"/>
    </row>
    <row r="989">
      <c r="A989" s="40"/>
      <c r="B989" s="35"/>
      <c r="C989" s="35"/>
      <c r="D989" s="35"/>
      <c r="E989" s="35"/>
    </row>
    <row r="990">
      <c r="A990" s="40"/>
      <c r="B990" s="35"/>
      <c r="C990" s="35"/>
      <c r="D990" s="35"/>
      <c r="E990" s="35"/>
    </row>
    <row r="991">
      <c r="A991" s="40"/>
      <c r="B991" s="35"/>
      <c r="C991" s="35"/>
      <c r="D991" s="35"/>
      <c r="E991" s="35"/>
    </row>
    <row r="992">
      <c r="A992" s="40"/>
      <c r="B992" s="35"/>
      <c r="C992" s="35"/>
      <c r="D992" s="35"/>
      <c r="E992" s="35"/>
    </row>
    <row r="993">
      <c r="A993" s="40"/>
      <c r="B993" s="35"/>
      <c r="C993" s="35"/>
      <c r="D993" s="35"/>
      <c r="E993" s="35"/>
    </row>
    <row r="994">
      <c r="A994" s="40"/>
      <c r="B994" s="35"/>
      <c r="C994" s="35"/>
      <c r="D994" s="35"/>
      <c r="E994" s="35"/>
    </row>
    <row r="995">
      <c r="A995" s="40"/>
      <c r="B995" s="35"/>
      <c r="C995" s="35"/>
      <c r="D995" s="35"/>
      <c r="E995" s="35"/>
    </row>
    <row r="996">
      <c r="A996" s="40"/>
      <c r="B996" s="35"/>
      <c r="C996" s="35"/>
      <c r="D996" s="35"/>
      <c r="E996" s="35"/>
    </row>
    <row r="997">
      <c r="A997" s="40"/>
      <c r="B997" s="35"/>
      <c r="C997" s="35"/>
      <c r="D997" s="35"/>
      <c r="E997" s="35"/>
    </row>
    <row r="998">
      <c r="A998" s="40"/>
      <c r="B998" s="35"/>
      <c r="C998" s="35"/>
      <c r="D998" s="35"/>
      <c r="E998" s="35"/>
    </row>
    <row r="999">
      <c r="A999" s="40"/>
      <c r="B999" s="35"/>
      <c r="C999" s="35"/>
      <c r="D999" s="35"/>
      <c r="E999" s="35"/>
    </row>
    <row r="1000">
      <c r="A1000" s="40"/>
      <c r="B1000" s="35"/>
      <c r="C1000" s="35"/>
      <c r="D1000" s="35"/>
      <c r="E1000" s="3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4.75"/>
    <col customWidth="1" min="3" max="3" width="28.13"/>
    <col customWidth="1" min="4" max="4" width="14.25"/>
    <col customWidth="1" min="7" max="7" width="6.88"/>
    <col customWidth="1" min="8" max="9" width="7.88"/>
    <col customWidth="1" min="10" max="10" width="8.38"/>
    <col customWidth="1" min="11" max="11" width="8.88"/>
    <col customWidth="1" min="14" max="14" width="7.63"/>
    <col customWidth="1" min="15" max="15" width="9.13"/>
    <col customWidth="1" min="16" max="16" width="22.63"/>
  </cols>
  <sheetData>
    <row r="1">
      <c r="A1" s="1" t="s">
        <v>1390</v>
      </c>
      <c r="B1" s="1" t="s">
        <v>7</v>
      </c>
      <c r="C1" s="1" t="s">
        <v>1394</v>
      </c>
      <c r="D1" s="1" t="s">
        <v>1395</v>
      </c>
      <c r="E1" s="1" t="s">
        <v>1396</v>
      </c>
      <c r="F1" s="1" t="s">
        <v>1397</v>
      </c>
      <c r="G1" s="1" t="s">
        <v>1398</v>
      </c>
      <c r="H1" s="1" t="s">
        <v>1399</v>
      </c>
      <c r="I1" s="1" t="s">
        <v>1400</v>
      </c>
      <c r="J1" s="1" t="s">
        <v>1401</v>
      </c>
      <c r="K1" s="36" t="s">
        <v>1402</v>
      </c>
      <c r="L1" s="1" t="s">
        <v>1405</v>
      </c>
      <c r="M1" s="1" t="s">
        <v>1407</v>
      </c>
      <c r="N1" s="36" t="s">
        <v>1408</v>
      </c>
      <c r="O1" s="36" t="s">
        <v>1410</v>
      </c>
      <c r="P1" s="36" t="s">
        <v>673</v>
      </c>
    </row>
    <row r="2">
      <c r="A2" s="42" t="s">
        <v>1411</v>
      </c>
      <c r="B2" s="1">
        <v>2023.0</v>
      </c>
      <c r="C2" s="1" t="s">
        <v>1412</v>
      </c>
      <c r="D2" s="1" t="s">
        <v>1413</v>
      </c>
      <c r="E2" s="1" t="s">
        <v>1414</v>
      </c>
      <c r="F2" s="1" t="s">
        <v>1415</v>
      </c>
      <c r="G2" s="1">
        <v>6.0</v>
      </c>
      <c r="H2" s="1">
        <v>100.0</v>
      </c>
      <c r="I2" s="1">
        <v>100.0</v>
      </c>
      <c r="J2" s="1" t="s">
        <v>1416</v>
      </c>
      <c r="K2" s="1">
        <v>100.0</v>
      </c>
      <c r="L2" s="1" t="s">
        <v>1416</v>
      </c>
      <c r="M2" s="1">
        <v>1.0</v>
      </c>
      <c r="N2" s="36" t="s">
        <v>1416</v>
      </c>
      <c r="O2" s="43"/>
      <c r="P2" s="36" t="s">
        <v>1424</v>
      </c>
    </row>
    <row r="3">
      <c r="A3" s="1" t="s">
        <v>1426</v>
      </c>
      <c r="B3" s="1">
        <v>2022.0</v>
      </c>
      <c r="C3" s="1" t="s">
        <v>1428</v>
      </c>
      <c r="D3" s="1" t="s">
        <v>1413</v>
      </c>
      <c r="E3" s="1" t="s">
        <v>1430</v>
      </c>
      <c r="F3" s="1" t="s">
        <v>1415</v>
      </c>
      <c r="G3" s="1" t="s">
        <v>1416</v>
      </c>
      <c r="H3" s="44">
        <v>96.89</v>
      </c>
      <c r="I3" s="1">
        <v>99.1</v>
      </c>
      <c r="J3" s="1" t="s">
        <v>1416</v>
      </c>
      <c r="K3" s="44">
        <v>96.35</v>
      </c>
      <c r="L3" s="1" t="s">
        <v>1416</v>
      </c>
      <c r="M3" s="1">
        <v>0.977</v>
      </c>
      <c r="N3" s="36" t="s">
        <v>1416</v>
      </c>
      <c r="O3" s="43"/>
      <c r="P3" s="33" t="s">
        <v>1432</v>
      </c>
    </row>
    <row r="4">
      <c r="A4" s="1" t="s">
        <v>1426</v>
      </c>
      <c r="B4" s="1">
        <v>2022.0</v>
      </c>
      <c r="C4" s="1" t="s">
        <v>1433</v>
      </c>
      <c r="D4" s="1" t="s">
        <v>1413</v>
      </c>
      <c r="E4" s="1" t="s">
        <v>1430</v>
      </c>
      <c r="F4" s="1" t="s">
        <v>1415</v>
      </c>
      <c r="G4" s="1" t="s">
        <v>1416</v>
      </c>
      <c r="H4" s="44">
        <v>97.69</v>
      </c>
      <c r="I4" s="1">
        <v>98.15</v>
      </c>
      <c r="J4" s="1" t="s">
        <v>1416</v>
      </c>
      <c r="K4" s="44">
        <v>98.54</v>
      </c>
      <c r="L4" s="1" t="s">
        <v>1416</v>
      </c>
      <c r="M4" s="1">
        <v>0.9833</v>
      </c>
      <c r="N4" s="36" t="s">
        <v>1416</v>
      </c>
      <c r="O4" s="43"/>
    </row>
    <row r="5">
      <c r="A5" s="1" t="s">
        <v>1426</v>
      </c>
      <c r="B5" s="1">
        <v>2022.0</v>
      </c>
      <c r="C5" s="1" t="s">
        <v>1435</v>
      </c>
      <c r="D5" s="1" t="s">
        <v>1413</v>
      </c>
      <c r="E5" s="1" t="s">
        <v>1430</v>
      </c>
      <c r="F5" s="1" t="s">
        <v>1415</v>
      </c>
      <c r="G5" s="1" t="s">
        <v>1416</v>
      </c>
      <c r="H5" s="44">
        <v>96.59</v>
      </c>
      <c r="I5" s="44">
        <v>97.85</v>
      </c>
      <c r="J5" s="1" t="s">
        <v>1416</v>
      </c>
      <c r="K5" s="44">
        <v>97.23</v>
      </c>
      <c r="L5" s="1" t="s">
        <v>1416</v>
      </c>
      <c r="M5" s="1">
        <v>0.9751</v>
      </c>
      <c r="N5" s="36" t="s">
        <v>1416</v>
      </c>
      <c r="O5" s="43"/>
    </row>
    <row r="6">
      <c r="A6" s="1" t="s">
        <v>1426</v>
      </c>
      <c r="B6" s="1">
        <v>2022.0</v>
      </c>
      <c r="C6" s="45" t="s">
        <v>1443</v>
      </c>
      <c r="D6" s="1" t="s">
        <v>1413</v>
      </c>
      <c r="E6" s="1" t="s">
        <v>1430</v>
      </c>
      <c r="F6" s="1" t="s">
        <v>1415</v>
      </c>
      <c r="G6" s="1" t="s">
        <v>1416</v>
      </c>
      <c r="H6" s="45">
        <v>99.0</v>
      </c>
      <c r="I6" s="44">
        <v>99.86</v>
      </c>
      <c r="J6" s="1" t="s">
        <v>1416</v>
      </c>
      <c r="K6" s="1">
        <v>98.69</v>
      </c>
      <c r="L6" s="1" t="s">
        <v>1416</v>
      </c>
      <c r="M6" s="1">
        <v>0.9926</v>
      </c>
      <c r="N6" s="36" t="s">
        <v>1416</v>
      </c>
      <c r="O6" s="43"/>
    </row>
    <row r="7">
      <c r="A7" s="1" t="s">
        <v>1426</v>
      </c>
      <c r="B7" s="1">
        <v>2022.0</v>
      </c>
      <c r="C7" s="45" t="s">
        <v>1444</v>
      </c>
      <c r="D7" s="1" t="s">
        <v>1413</v>
      </c>
      <c r="E7" s="1" t="s">
        <v>1430</v>
      </c>
      <c r="F7" s="1" t="s">
        <v>1415</v>
      </c>
      <c r="G7" s="1" t="s">
        <v>1416</v>
      </c>
      <c r="H7" s="44">
        <v>99.05</v>
      </c>
      <c r="I7" s="1">
        <v>99.86</v>
      </c>
      <c r="J7" s="1" t="s">
        <v>1416</v>
      </c>
      <c r="K7" s="44">
        <v>98.76</v>
      </c>
      <c r="L7" s="1" t="s">
        <v>1416</v>
      </c>
      <c r="M7" s="1">
        <v>0.993</v>
      </c>
      <c r="N7" s="36" t="s">
        <v>1416</v>
      </c>
      <c r="O7" s="43"/>
    </row>
    <row r="8">
      <c r="A8" s="1" t="s">
        <v>1426</v>
      </c>
      <c r="B8" s="1">
        <v>2022.0</v>
      </c>
      <c r="C8" s="45" t="s">
        <v>1449</v>
      </c>
      <c r="D8" s="1" t="s">
        <v>1413</v>
      </c>
      <c r="E8" s="1" t="s">
        <v>1430</v>
      </c>
      <c r="F8" s="1" t="s">
        <v>1415</v>
      </c>
      <c r="G8" s="1" t="s">
        <v>1416</v>
      </c>
      <c r="H8" s="44">
        <v>99.7</v>
      </c>
      <c r="I8" s="44">
        <v>99.78</v>
      </c>
      <c r="J8" s="1" t="s">
        <v>1416</v>
      </c>
      <c r="K8" s="44">
        <v>99.78</v>
      </c>
      <c r="L8" s="1" t="s">
        <v>1416</v>
      </c>
      <c r="M8" s="1">
        <v>0.9978</v>
      </c>
      <c r="N8" s="36" t="s">
        <v>1416</v>
      </c>
      <c r="O8" s="43"/>
    </row>
    <row r="9">
      <c r="A9" s="38" t="s">
        <v>1450</v>
      </c>
      <c r="B9" s="38">
        <v>2022.0</v>
      </c>
      <c r="C9" s="1" t="s">
        <v>1451</v>
      </c>
      <c r="D9" s="1" t="s">
        <v>1413</v>
      </c>
      <c r="E9" s="46" t="s">
        <v>1452</v>
      </c>
      <c r="F9" s="1" t="s">
        <v>1415</v>
      </c>
      <c r="G9" s="1" t="s">
        <v>1416</v>
      </c>
      <c r="H9" s="1">
        <v>87.5</v>
      </c>
      <c r="I9" s="1" t="s">
        <v>1416</v>
      </c>
      <c r="J9" s="1" t="s">
        <v>1416</v>
      </c>
      <c r="K9" s="1" t="s">
        <v>1416</v>
      </c>
      <c r="L9" s="1" t="s">
        <v>1416</v>
      </c>
      <c r="M9" s="1" t="s">
        <v>1416</v>
      </c>
      <c r="N9" s="36" t="s">
        <v>1416</v>
      </c>
      <c r="O9" s="36" t="s">
        <v>1454</v>
      </c>
      <c r="P9" s="33" t="s">
        <v>1456</v>
      </c>
    </row>
    <row r="10">
      <c r="A10" s="38" t="s">
        <v>1450</v>
      </c>
      <c r="B10" s="38">
        <v>2022.0</v>
      </c>
      <c r="C10" s="1" t="s">
        <v>1458</v>
      </c>
      <c r="D10" s="1" t="s">
        <v>1413</v>
      </c>
      <c r="E10" s="46" t="s">
        <v>1452</v>
      </c>
      <c r="F10" s="1" t="s">
        <v>1415</v>
      </c>
      <c r="G10" s="1" t="s">
        <v>1416</v>
      </c>
      <c r="H10" s="1">
        <v>72.91</v>
      </c>
      <c r="I10" s="1" t="s">
        <v>1416</v>
      </c>
      <c r="J10" s="1" t="s">
        <v>1416</v>
      </c>
      <c r="K10" s="1" t="s">
        <v>1416</v>
      </c>
      <c r="L10" s="1" t="s">
        <v>1416</v>
      </c>
      <c r="M10" s="1" t="s">
        <v>1416</v>
      </c>
      <c r="N10" s="36" t="s">
        <v>1416</v>
      </c>
      <c r="O10" s="36" t="s">
        <v>1454</v>
      </c>
    </row>
    <row r="11">
      <c r="A11" s="38" t="s">
        <v>1450</v>
      </c>
      <c r="B11" s="38">
        <v>2022.0</v>
      </c>
      <c r="C11" s="1" t="s">
        <v>1464</v>
      </c>
      <c r="D11" s="1" t="s">
        <v>1413</v>
      </c>
      <c r="E11" s="46" t="s">
        <v>1452</v>
      </c>
      <c r="F11" s="1" t="s">
        <v>1415</v>
      </c>
      <c r="G11" s="1" t="s">
        <v>1416</v>
      </c>
      <c r="H11" s="1">
        <v>75.0</v>
      </c>
      <c r="I11" s="1" t="s">
        <v>1416</v>
      </c>
      <c r="J11" s="1" t="s">
        <v>1416</v>
      </c>
      <c r="K11" s="1" t="s">
        <v>1416</v>
      </c>
      <c r="L11" s="1" t="s">
        <v>1416</v>
      </c>
      <c r="M11" s="1" t="s">
        <v>1416</v>
      </c>
      <c r="N11" s="36" t="s">
        <v>1416</v>
      </c>
      <c r="O11" s="36" t="s">
        <v>1454</v>
      </c>
    </row>
    <row r="12">
      <c r="A12" s="1" t="s">
        <v>1467</v>
      </c>
      <c r="B12" s="1">
        <v>2021.0</v>
      </c>
      <c r="C12" s="1" t="s">
        <v>1468</v>
      </c>
      <c r="D12" s="1" t="s">
        <v>1413</v>
      </c>
      <c r="E12" s="46" t="s">
        <v>1452</v>
      </c>
      <c r="F12" s="1" t="s">
        <v>1415</v>
      </c>
      <c r="G12" s="1" t="s">
        <v>1416</v>
      </c>
      <c r="H12" s="1">
        <v>88.92</v>
      </c>
      <c r="I12" s="1" t="s">
        <v>1416</v>
      </c>
      <c r="J12" s="1" t="s">
        <v>1416</v>
      </c>
      <c r="K12" s="1" t="s">
        <v>1416</v>
      </c>
      <c r="L12" s="1" t="s">
        <v>1416</v>
      </c>
      <c r="M12" s="1" t="s">
        <v>1416</v>
      </c>
      <c r="N12" s="36" t="s">
        <v>1416</v>
      </c>
      <c r="O12" s="36" t="s">
        <v>1454</v>
      </c>
    </row>
    <row r="13">
      <c r="A13" s="38" t="s">
        <v>1469</v>
      </c>
      <c r="B13" s="1">
        <v>2020.0</v>
      </c>
      <c r="C13" s="1" t="s">
        <v>1470</v>
      </c>
      <c r="D13" s="1" t="s">
        <v>1413</v>
      </c>
      <c r="E13" s="1" t="s">
        <v>1471</v>
      </c>
      <c r="F13" s="1" t="s">
        <v>1415</v>
      </c>
      <c r="G13" s="1" t="s">
        <v>1416</v>
      </c>
      <c r="H13" s="1">
        <v>94.42</v>
      </c>
      <c r="I13" s="1">
        <v>94.99</v>
      </c>
      <c r="J13" s="1" t="s">
        <v>1416</v>
      </c>
      <c r="K13" s="1">
        <v>94.42</v>
      </c>
      <c r="L13" s="1" t="s">
        <v>1416</v>
      </c>
      <c r="M13" s="1">
        <v>0.9449</v>
      </c>
      <c r="N13" s="36" t="s">
        <v>1416</v>
      </c>
      <c r="O13" s="43"/>
      <c r="P13" s="33" t="s">
        <v>1472</v>
      </c>
    </row>
    <row r="14">
      <c r="A14" s="38" t="s">
        <v>1469</v>
      </c>
      <c r="B14" s="1">
        <v>2020.0</v>
      </c>
      <c r="C14" s="1" t="s">
        <v>1473</v>
      </c>
      <c r="D14" s="1" t="s">
        <v>1413</v>
      </c>
      <c r="E14" s="1" t="s">
        <v>1471</v>
      </c>
      <c r="F14" s="1" t="s">
        <v>1415</v>
      </c>
      <c r="G14" s="1" t="s">
        <v>1416</v>
      </c>
      <c r="H14" s="1">
        <v>97.03</v>
      </c>
      <c r="I14" s="1">
        <v>97.41</v>
      </c>
      <c r="J14" s="1" t="s">
        <v>1416</v>
      </c>
      <c r="K14" s="1">
        <v>97.03</v>
      </c>
      <c r="L14" s="1" t="s">
        <v>1416</v>
      </c>
      <c r="M14" s="1">
        <v>0.9705</v>
      </c>
      <c r="N14" s="36" t="s">
        <v>1416</v>
      </c>
      <c r="O14" s="43"/>
    </row>
    <row r="15">
      <c r="A15" s="1" t="s">
        <v>1481</v>
      </c>
      <c r="B15" s="1">
        <v>2020.0</v>
      </c>
      <c r="C15" s="1" t="s">
        <v>1483</v>
      </c>
      <c r="D15" s="1" t="s">
        <v>1413</v>
      </c>
      <c r="E15" s="1" t="s">
        <v>1484</v>
      </c>
      <c r="F15" s="1" t="s">
        <v>1415</v>
      </c>
      <c r="G15" s="1">
        <v>126.0</v>
      </c>
      <c r="H15" s="1" t="s">
        <v>1416</v>
      </c>
      <c r="I15" s="1" t="s">
        <v>1416</v>
      </c>
      <c r="J15" s="1" t="s">
        <v>1416</v>
      </c>
      <c r="K15" s="1" t="s">
        <v>1416</v>
      </c>
      <c r="L15" s="1" t="s">
        <v>1416</v>
      </c>
      <c r="M15" s="1" t="s">
        <v>1416</v>
      </c>
      <c r="N15" s="1">
        <v>0.9189</v>
      </c>
      <c r="O15" s="36" t="s">
        <v>1454</v>
      </c>
      <c r="P15" s="36" t="s">
        <v>1489</v>
      </c>
    </row>
    <row r="16">
      <c r="A16" s="1" t="s">
        <v>1490</v>
      </c>
      <c r="B16" s="1">
        <v>2019.0</v>
      </c>
      <c r="C16" s="1" t="s">
        <v>1492</v>
      </c>
      <c r="D16" s="1" t="s">
        <v>1493</v>
      </c>
      <c r="E16" s="48" t="s">
        <v>1494</v>
      </c>
      <c r="F16" s="1" t="s">
        <v>1495</v>
      </c>
      <c r="H16" s="1">
        <v>98.76</v>
      </c>
      <c r="I16" s="1">
        <v>100.0</v>
      </c>
      <c r="J16" s="1">
        <v>100.0</v>
      </c>
      <c r="K16" s="1">
        <v>91.42</v>
      </c>
      <c r="M16" s="1">
        <v>0.955</v>
      </c>
      <c r="N16" s="36" t="s">
        <v>1416</v>
      </c>
      <c r="O16" s="43"/>
      <c r="P16" s="36" t="s">
        <v>1432</v>
      </c>
    </row>
    <row r="17">
      <c r="A17" s="1" t="s">
        <v>1500</v>
      </c>
      <c r="B17" s="1">
        <v>2019.0</v>
      </c>
      <c r="C17" s="1" t="s">
        <v>1503</v>
      </c>
      <c r="D17" s="1" t="s">
        <v>1505</v>
      </c>
      <c r="E17" s="1" t="s">
        <v>1506</v>
      </c>
      <c r="F17" s="1" t="s">
        <v>1415</v>
      </c>
      <c r="G17" s="1" t="s">
        <v>1416</v>
      </c>
      <c r="H17" s="1" t="s">
        <v>1416</v>
      </c>
      <c r="I17" s="1" t="s">
        <v>1416</v>
      </c>
      <c r="J17" s="1"/>
      <c r="K17" s="1" t="s">
        <v>1416</v>
      </c>
      <c r="L17" s="1">
        <v>85.0</v>
      </c>
      <c r="M17" s="1" t="s">
        <v>1416</v>
      </c>
      <c r="N17" s="36" t="s">
        <v>1416</v>
      </c>
      <c r="O17" s="36" t="s">
        <v>1454</v>
      </c>
      <c r="P17" s="36" t="s">
        <v>1509</v>
      </c>
    </row>
    <row r="18">
      <c r="A18" s="1" t="s">
        <v>1510</v>
      </c>
      <c r="B18" s="1">
        <v>2018.0</v>
      </c>
      <c r="C18" s="1" t="s">
        <v>1511</v>
      </c>
      <c r="D18" s="1" t="s">
        <v>1512</v>
      </c>
      <c r="E18" s="1" t="s">
        <v>1513</v>
      </c>
      <c r="F18" s="1" t="s">
        <v>1415</v>
      </c>
      <c r="G18" s="1">
        <v>1.59</v>
      </c>
      <c r="H18" s="1" t="s">
        <v>1416</v>
      </c>
      <c r="I18" s="1">
        <v>78.0</v>
      </c>
      <c r="J18" s="1"/>
      <c r="K18" s="1">
        <v>79.0</v>
      </c>
      <c r="L18" s="1" t="s">
        <v>1416</v>
      </c>
      <c r="M18" s="1">
        <v>0.784</v>
      </c>
      <c r="N18" s="36" t="s">
        <v>1416</v>
      </c>
      <c r="O18" s="36" t="s">
        <v>1454</v>
      </c>
      <c r="P18" s="36" t="s">
        <v>1514</v>
      </c>
    </row>
    <row r="19">
      <c r="A19" s="38" t="s">
        <v>1515</v>
      </c>
      <c r="B19" s="1">
        <v>2024.0</v>
      </c>
      <c r="C19" s="1" t="s">
        <v>1516</v>
      </c>
      <c r="E19" s="36" t="s">
        <v>1518</v>
      </c>
      <c r="F19" s="1" t="s">
        <v>1415</v>
      </c>
      <c r="H19" s="1">
        <v>98.74</v>
      </c>
      <c r="I19" s="1">
        <v>99.0</v>
      </c>
      <c r="K19" s="1">
        <v>99.0</v>
      </c>
      <c r="M19" s="1">
        <v>0.99</v>
      </c>
      <c r="N19" s="36">
        <v>0.9908</v>
      </c>
      <c r="O19" s="43"/>
      <c r="P19" s="43"/>
    </row>
    <row r="20">
      <c r="A20" s="38" t="s">
        <v>1523</v>
      </c>
      <c r="B20" s="1">
        <v>2024.0</v>
      </c>
      <c r="C20" s="1" t="s">
        <v>1525</v>
      </c>
      <c r="E20" s="1" t="s">
        <v>1526</v>
      </c>
      <c r="N20" s="43"/>
      <c r="O20" s="43"/>
      <c r="P20" s="43"/>
    </row>
    <row r="21">
      <c r="A21" s="38" t="s">
        <v>1529</v>
      </c>
      <c r="B21" s="1">
        <v>2024.0</v>
      </c>
      <c r="C21" s="1" t="s">
        <v>1492</v>
      </c>
      <c r="E21" s="1" t="s">
        <v>1531</v>
      </c>
      <c r="N21" s="43"/>
      <c r="O21" s="43"/>
      <c r="P21" s="43"/>
    </row>
    <row r="22">
      <c r="A22" s="1" t="s">
        <v>1534</v>
      </c>
      <c r="B22" s="1">
        <v>2022.0</v>
      </c>
      <c r="C22" s="1" t="s">
        <v>1535</v>
      </c>
      <c r="E22" s="1" t="s">
        <v>1536</v>
      </c>
      <c r="H22" s="1">
        <v>88.0</v>
      </c>
      <c r="N22" s="43"/>
      <c r="O22" s="43"/>
      <c r="P22" s="43"/>
    </row>
    <row r="23">
      <c r="A23" s="38" t="s">
        <v>1537</v>
      </c>
      <c r="B23" s="1">
        <v>2024.0</v>
      </c>
      <c r="C23" s="1" t="s">
        <v>1492</v>
      </c>
      <c r="E23" s="1" t="s">
        <v>1506</v>
      </c>
      <c r="H23" s="1">
        <v>99.3</v>
      </c>
      <c r="N23" s="43"/>
      <c r="O23" s="43"/>
      <c r="P23" s="43"/>
    </row>
    <row r="24">
      <c r="A24" s="38" t="s">
        <v>1538</v>
      </c>
      <c r="B24" s="1">
        <v>2020.0</v>
      </c>
      <c r="C24" s="1" t="s">
        <v>1539</v>
      </c>
      <c r="D24" s="1" t="s">
        <v>1540</v>
      </c>
      <c r="E24" s="1" t="s">
        <v>1541</v>
      </c>
      <c r="J24" s="1">
        <v>96.33</v>
      </c>
      <c r="K24" s="1">
        <v>89.25</v>
      </c>
      <c r="N24" s="43"/>
      <c r="O24" s="43"/>
      <c r="P24" s="43"/>
    </row>
    <row r="25">
      <c r="A25" s="38" t="s">
        <v>1542</v>
      </c>
      <c r="B25" s="1">
        <v>2021.0</v>
      </c>
      <c r="C25" s="1" t="s">
        <v>1543</v>
      </c>
      <c r="E25" s="1" t="s">
        <v>1430</v>
      </c>
      <c r="H25" s="1">
        <v>76.0</v>
      </c>
      <c r="N25" s="43"/>
      <c r="O25" s="43"/>
      <c r="P25" s="43"/>
    </row>
    <row r="26">
      <c r="A26" s="38" t="s">
        <v>1544</v>
      </c>
      <c r="B26" s="1">
        <v>2023.0</v>
      </c>
      <c r="C26" s="1" t="s">
        <v>1492</v>
      </c>
      <c r="E26" s="1" t="s">
        <v>1545</v>
      </c>
      <c r="F26" s="1" t="s">
        <v>1546</v>
      </c>
      <c r="H26" s="1">
        <v>99.0</v>
      </c>
      <c r="N26" s="43"/>
      <c r="O26" s="43"/>
      <c r="P26" s="43"/>
    </row>
    <row r="27">
      <c r="A27" s="38" t="s">
        <v>1548</v>
      </c>
      <c r="B27" s="1">
        <v>2024.0</v>
      </c>
      <c r="C27" s="1" t="s">
        <v>1492</v>
      </c>
      <c r="D27" s="1" t="s">
        <v>1540</v>
      </c>
      <c r="E27" s="1" t="s">
        <v>1549</v>
      </c>
      <c r="F27" s="1" t="s">
        <v>1415</v>
      </c>
      <c r="H27" s="49" t="s">
        <v>1550</v>
      </c>
      <c r="I27" s="49" t="s">
        <v>1551</v>
      </c>
      <c r="J27" s="49" t="s">
        <v>1552</v>
      </c>
      <c r="K27" s="49" t="s">
        <v>1553</v>
      </c>
      <c r="M27" s="49" t="s">
        <v>1554</v>
      </c>
      <c r="N27" s="43"/>
      <c r="O27" s="43"/>
      <c r="P27" s="43"/>
    </row>
    <row r="28">
      <c r="A28" s="38" t="s">
        <v>1557</v>
      </c>
      <c r="B28" s="1">
        <v>2024.0</v>
      </c>
      <c r="C28" s="1" t="s">
        <v>1543</v>
      </c>
      <c r="E28" s="1" t="s">
        <v>1430</v>
      </c>
      <c r="H28" s="1">
        <v>78.0</v>
      </c>
      <c r="N28" s="43"/>
      <c r="O28" s="43"/>
      <c r="P28" s="43"/>
    </row>
    <row r="29">
      <c r="A29" s="38" t="s">
        <v>1559</v>
      </c>
      <c r="B29" s="1">
        <v>2024.0</v>
      </c>
      <c r="C29" s="50" t="s">
        <v>1560</v>
      </c>
      <c r="E29" s="1" t="s">
        <v>1561</v>
      </c>
      <c r="F29" s="1" t="s">
        <v>1415</v>
      </c>
      <c r="H29" s="1">
        <v>99.0</v>
      </c>
      <c r="I29" s="1">
        <v>99.0</v>
      </c>
      <c r="J29" s="1">
        <v>99.0</v>
      </c>
      <c r="K29" s="1">
        <v>99.0</v>
      </c>
      <c r="M29" s="1">
        <v>0.99</v>
      </c>
      <c r="N29" s="43"/>
      <c r="O29" s="43"/>
      <c r="P29" s="43"/>
    </row>
    <row r="30">
      <c r="A30" s="38" t="s">
        <v>1563</v>
      </c>
      <c r="B30" s="1">
        <v>2023.0</v>
      </c>
      <c r="C30" s="1" t="s">
        <v>1564</v>
      </c>
      <c r="E30" s="1" t="s">
        <v>1565</v>
      </c>
      <c r="H30" s="1">
        <v>98.0</v>
      </c>
      <c r="N30" s="43"/>
      <c r="O30" s="43"/>
      <c r="P30" s="43"/>
    </row>
    <row r="31">
      <c r="A31" s="38"/>
      <c r="N31" s="43"/>
      <c r="O31" s="43"/>
      <c r="P31" s="43"/>
    </row>
    <row r="32">
      <c r="N32" s="43"/>
      <c r="O32" s="43"/>
      <c r="P32" s="43"/>
    </row>
    <row r="33">
      <c r="N33" s="43"/>
      <c r="O33" s="43"/>
      <c r="P33" s="43"/>
    </row>
    <row r="34">
      <c r="N34" s="43"/>
      <c r="O34" s="43"/>
      <c r="P34" s="43"/>
    </row>
    <row r="35">
      <c r="N35" s="43"/>
      <c r="O35" s="43"/>
      <c r="P35" s="43"/>
    </row>
    <row r="36">
      <c r="N36" s="43"/>
      <c r="O36" s="43"/>
      <c r="P36" s="43"/>
    </row>
    <row r="37">
      <c r="N37" s="43"/>
      <c r="O37" s="43"/>
      <c r="P37" s="43"/>
    </row>
    <row r="38">
      <c r="N38" s="43"/>
      <c r="O38" s="43"/>
      <c r="P38" s="43"/>
    </row>
    <row r="39">
      <c r="N39" s="43"/>
      <c r="O39" s="43"/>
      <c r="P39" s="43"/>
    </row>
    <row r="40">
      <c r="N40" s="43"/>
      <c r="O40" s="43"/>
      <c r="P40" s="43"/>
    </row>
    <row r="41">
      <c r="N41" s="43"/>
      <c r="O41" s="43"/>
      <c r="P41" s="43"/>
    </row>
    <row r="42">
      <c r="N42" s="43"/>
      <c r="O42" s="43"/>
      <c r="P42" s="43"/>
    </row>
    <row r="43">
      <c r="N43" s="43"/>
      <c r="O43" s="43"/>
      <c r="P43" s="43"/>
    </row>
    <row r="44">
      <c r="N44" s="43"/>
      <c r="O44" s="43"/>
      <c r="P44" s="43"/>
    </row>
    <row r="45">
      <c r="N45" s="43"/>
      <c r="O45" s="43"/>
      <c r="P45" s="43"/>
    </row>
    <row r="46">
      <c r="N46" s="43"/>
      <c r="O46" s="43"/>
      <c r="P46" s="43"/>
    </row>
    <row r="47">
      <c r="N47" s="43"/>
      <c r="O47" s="43"/>
      <c r="P47" s="43"/>
    </row>
    <row r="48">
      <c r="N48" s="43"/>
      <c r="O48" s="43"/>
      <c r="P48" s="43"/>
    </row>
    <row r="49">
      <c r="N49" s="43"/>
      <c r="O49" s="43"/>
      <c r="P49" s="43"/>
    </row>
    <row r="50">
      <c r="N50" s="43"/>
      <c r="O50" s="43"/>
      <c r="P50" s="43"/>
    </row>
    <row r="51">
      <c r="N51" s="43"/>
      <c r="O51" s="43"/>
      <c r="P51" s="43"/>
    </row>
    <row r="52">
      <c r="N52" s="43"/>
      <c r="O52" s="43"/>
      <c r="P52" s="43"/>
    </row>
    <row r="53">
      <c r="N53" s="43"/>
      <c r="O53" s="43"/>
      <c r="P53" s="43"/>
    </row>
    <row r="54">
      <c r="N54" s="43"/>
      <c r="O54" s="43"/>
      <c r="P54" s="43"/>
    </row>
    <row r="55">
      <c r="N55" s="43"/>
      <c r="O55" s="43"/>
      <c r="P55" s="43"/>
    </row>
    <row r="56">
      <c r="N56" s="43"/>
      <c r="O56" s="43"/>
      <c r="P56" s="43"/>
    </row>
    <row r="57">
      <c r="N57" s="43"/>
      <c r="O57" s="43"/>
      <c r="P57" s="43"/>
    </row>
    <row r="58">
      <c r="N58" s="43"/>
      <c r="O58" s="43"/>
      <c r="P58" s="43"/>
    </row>
    <row r="59">
      <c r="N59" s="43"/>
      <c r="O59" s="43"/>
      <c r="P59" s="43"/>
    </row>
    <row r="60">
      <c r="N60" s="43"/>
      <c r="O60" s="43"/>
      <c r="P60" s="43"/>
    </row>
    <row r="61">
      <c r="N61" s="43"/>
      <c r="O61" s="43"/>
      <c r="P61" s="43"/>
    </row>
    <row r="62">
      <c r="N62" s="43"/>
      <c r="O62" s="43"/>
      <c r="P62" s="43"/>
    </row>
    <row r="63">
      <c r="N63" s="43"/>
      <c r="O63" s="43"/>
      <c r="P63" s="43"/>
    </row>
    <row r="64">
      <c r="N64" s="43"/>
      <c r="O64" s="43"/>
      <c r="P64" s="43"/>
    </row>
    <row r="65">
      <c r="N65" s="43"/>
      <c r="O65" s="43"/>
      <c r="P65" s="43"/>
    </row>
    <row r="66">
      <c r="N66" s="43"/>
      <c r="O66" s="43"/>
      <c r="P66" s="43"/>
    </row>
    <row r="67">
      <c r="N67" s="43"/>
      <c r="O67" s="43"/>
      <c r="P67" s="43"/>
    </row>
    <row r="68">
      <c r="N68" s="43"/>
      <c r="O68" s="43"/>
      <c r="P68" s="43"/>
    </row>
    <row r="69">
      <c r="N69" s="43"/>
      <c r="O69" s="43"/>
      <c r="P69" s="43"/>
    </row>
    <row r="70">
      <c r="N70" s="43"/>
      <c r="O70" s="43"/>
      <c r="P70" s="43"/>
    </row>
    <row r="71">
      <c r="N71" s="43"/>
      <c r="O71" s="43"/>
      <c r="P71" s="43"/>
    </row>
    <row r="72">
      <c r="N72" s="43"/>
      <c r="O72" s="43"/>
      <c r="P72" s="43"/>
    </row>
    <row r="73">
      <c r="N73" s="43"/>
      <c r="O73" s="43"/>
      <c r="P73" s="43"/>
    </row>
    <row r="74">
      <c r="N74" s="43"/>
      <c r="O74" s="43"/>
      <c r="P74" s="43"/>
    </row>
    <row r="75">
      <c r="N75" s="43"/>
      <c r="O75" s="43"/>
      <c r="P75" s="43"/>
    </row>
    <row r="76">
      <c r="N76" s="43"/>
      <c r="O76" s="43"/>
      <c r="P76" s="43"/>
    </row>
    <row r="77">
      <c r="N77" s="43"/>
      <c r="O77" s="43"/>
      <c r="P77" s="43"/>
    </row>
    <row r="78">
      <c r="N78" s="43"/>
      <c r="O78" s="43"/>
      <c r="P78" s="43"/>
    </row>
    <row r="79">
      <c r="N79" s="43"/>
      <c r="O79" s="43"/>
      <c r="P79" s="43"/>
    </row>
    <row r="80">
      <c r="N80" s="43"/>
      <c r="O80" s="43"/>
      <c r="P80" s="43"/>
    </row>
    <row r="81">
      <c r="N81" s="43"/>
      <c r="O81" s="43"/>
      <c r="P81" s="43"/>
    </row>
    <row r="82">
      <c r="N82" s="43"/>
      <c r="O82" s="43"/>
      <c r="P82" s="43"/>
    </row>
    <row r="83">
      <c r="N83" s="43"/>
      <c r="O83" s="43"/>
      <c r="P83" s="43"/>
    </row>
    <row r="84">
      <c r="N84" s="43"/>
      <c r="O84" s="43"/>
      <c r="P84" s="43"/>
    </row>
    <row r="85">
      <c r="N85" s="43"/>
      <c r="O85" s="43"/>
      <c r="P85" s="43"/>
    </row>
    <row r="86">
      <c r="N86" s="43"/>
      <c r="O86" s="43"/>
      <c r="P86" s="43"/>
    </row>
    <row r="87">
      <c r="N87" s="43"/>
      <c r="O87" s="43"/>
      <c r="P87" s="43"/>
    </row>
    <row r="88">
      <c r="N88" s="43"/>
      <c r="O88" s="43"/>
      <c r="P88" s="43"/>
    </row>
    <row r="89">
      <c r="N89" s="43"/>
      <c r="O89" s="43"/>
      <c r="P89" s="43"/>
    </row>
    <row r="90">
      <c r="N90" s="43"/>
      <c r="O90" s="43"/>
      <c r="P90" s="43"/>
    </row>
    <row r="91">
      <c r="N91" s="43"/>
      <c r="O91" s="43"/>
      <c r="P91" s="43"/>
    </row>
    <row r="92">
      <c r="N92" s="43"/>
      <c r="O92" s="43"/>
      <c r="P92" s="43"/>
    </row>
    <row r="93">
      <c r="N93" s="43"/>
      <c r="O93" s="43"/>
      <c r="P93" s="43"/>
    </row>
    <row r="94">
      <c r="N94" s="43"/>
      <c r="O94" s="43"/>
      <c r="P94" s="43"/>
    </row>
    <row r="95">
      <c r="N95" s="43"/>
      <c r="O95" s="43"/>
      <c r="P95" s="43"/>
    </row>
    <row r="96">
      <c r="N96" s="43"/>
      <c r="O96" s="43"/>
      <c r="P96" s="43"/>
    </row>
    <row r="97">
      <c r="N97" s="43"/>
      <c r="O97" s="43"/>
      <c r="P97" s="43"/>
    </row>
    <row r="98">
      <c r="N98" s="43"/>
      <c r="O98" s="43"/>
      <c r="P98" s="43"/>
    </row>
    <row r="99">
      <c r="N99" s="43"/>
      <c r="O99" s="43"/>
      <c r="P99" s="43"/>
    </row>
    <row r="100">
      <c r="N100" s="43"/>
      <c r="O100" s="43"/>
      <c r="P100" s="43"/>
    </row>
    <row r="101">
      <c r="N101" s="43"/>
      <c r="O101" s="43"/>
      <c r="P101" s="43"/>
    </row>
    <row r="102">
      <c r="N102" s="43"/>
      <c r="O102" s="43"/>
      <c r="P102" s="43"/>
    </row>
    <row r="103">
      <c r="N103" s="43"/>
      <c r="O103" s="43"/>
      <c r="P103" s="43"/>
    </row>
    <row r="104">
      <c r="N104" s="43"/>
      <c r="O104" s="43"/>
      <c r="P104" s="43"/>
    </row>
    <row r="105">
      <c r="N105" s="43"/>
      <c r="O105" s="43"/>
      <c r="P105" s="43"/>
    </row>
    <row r="106">
      <c r="N106" s="43"/>
      <c r="O106" s="43"/>
      <c r="P106" s="43"/>
    </row>
    <row r="107">
      <c r="N107" s="43"/>
      <c r="O107" s="43"/>
      <c r="P107" s="43"/>
    </row>
    <row r="108">
      <c r="N108" s="43"/>
      <c r="O108" s="43"/>
      <c r="P108" s="43"/>
    </row>
    <row r="109">
      <c r="N109" s="43"/>
      <c r="O109" s="43"/>
      <c r="P109" s="43"/>
    </row>
    <row r="110">
      <c r="N110" s="43"/>
      <c r="O110" s="43"/>
      <c r="P110" s="43"/>
    </row>
    <row r="111">
      <c r="N111" s="43"/>
      <c r="O111" s="43"/>
      <c r="P111" s="43"/>
    </row>
    <row r="112">
      <c r="N112" s="43"/>
      <c r="O112" s="43"/>
      <c r="P112" s="43"/>
    </row>
    <row r="113">
      <c r="N113" s="43"/>
      <c r="O113" s="43"/>
      <c r="P113" s="43"/>
    </row>
    <row r="114">
      <c r="N114" s="43"/>
      <c r="O114" s="43"/>
      <c r="P114" s="43"/>
    </row>
    <row r="115">
      <c r="N115" s="43"/>
      <c r="O115" s="43"/>
      <c r="P115" s="43"/>
    </row>
    <row r="116">
      <c r="N116" s="43"/>
      <c r="O116" s="43"/>
      <c r="P116" s="43"/>
    </row>
    <row r="117">
      <c r="N117" s="43"/>
      <c r="O117" s="43"/>
      <c r="P117" s="43"/>
    </row>
    <row r="118">
      <c r="N118" s="43"/>
      <c r="O118" s="43"/>
      <c r="P118" s="43"/>
    </row>
    <row r="119">
      <c r="N119" s="43"/>
      <c r="O119" s="43"/>
      <c r="P119" s="43"/>
    </row>
    <row r="120">
      <c r="N120" s="43"/>
      <c r="O120" s="43"/>
      <c r="P120" s="43"/>
    </row>
    <row r="121">
      <c r="N121" s="43"/>
      <c r="O121" s="43"/>
      <c r="P121" s="43"/>
    </row>
    <row r="122">
      <c r="N122" s="43"/>
      <c r="O122" s="43"/>
      <c r="P122" s="43"/>
    </row>
    <row r="123">
      <c r="N123" s="43"/>
      <c r="O123" s="43"/>
      <c r="P123" s="43"/>
    </row>
    <row r="124">
      <c r="N124" s="43"/>
      <c r="O124" s="43"/>
      <c r="P124" s="43"/>
    </row>
    <row r="125">
      <c r="N125" s="43"/>
      <c r="O125" s="43"/>
      <c r="P125" s="43"/>
    </row>
    <row r="126">
      <c r="N126" s="43"/>
      <c r="O126" s="43"/>
      <c r="P126" s="43"/>
    </row>
    <row r="127">
      <c r="N127" s="43"/>
      <c r="O127" s="43"/>
      <c r="P127" s="43"/>
    </row>
    <row r="128">
      <c r="N128" s="43"/>
      <c r="O128" s="43"/>
      <c r="P128" s="43"/>
    </row>
    <row r="129">
      <c r="N129" s="43"/>
      <c r="O129" s="43"/>
      <c r="P129" s="43"/>
    </row>
    <row r="130">
      <c r="N130" s="43"/>
      <c r="O130" s="43"/>
      <c r="P130" s="43"/>
    </row>
    <row r="131">
      <c r="N131" s="43"/>
      <c r="O131" s="43"/>
      <c r="P131" s="43"/>
    </row>
    <row r="132">
      <c r="N132" s="43"/>
      <c r="O132" s="43"/>
      <c r="P132" s="43"/>
    </row>
    <row r="133">
      <c r="N133" s="43"/>
      <c r="O133" s="43"/>
      <c r="P133" s="43"/>
    </row>
    <row r="134">
      <c r="N134" s="43"/>
      <c r="O134" s="43"/>
      <c r="P134" s="43"/>
    </row>
    <row r="135">
      <c r="N135" s="43"/>
      <c r="O135" s="43"/>
      <c r="P135" s="43"/>
    </row>
    <row r="136">
      <c r="N136" s="43"/>
      <c r="O136" s="43"/>
      <c r="P136" s="43"/>
    </row>
    <row r="137">
      <c r="N137" s="43"/>
      <c r="O137" s="43"/>
      <c r="P137" s="43"/>
    </row>
    <row r="138">
      <c r="N138" s="43"/>
      <c r="O138" s="43"/>
      <c r="P138" s="43"/>
    </row>
    <row r="139">
      <c r="N139" s="43"/>
      <c r="O139" s="43"/>
      <c r="P139" s="43"/>
    </row>
    <row r="140">
      <c r="N140" s="43"/>
      <c r="O140" s="43"/>
      <c r="P140" s="43"/>
    </row>
    <row r="141">
      <c r="N141" s="43"/>
      <c r="O141" s="43"/>
      <c r="P141" s="43"/>
    </row>
    <row r="142">
      <c r="N142" s="43"/>
      <c r="O142" s="43"/>
      <c r="P142" s="43"/>
    </row>
    <row r="143">
      <c r="N143" s="43"/>
      <c r="O143" s="43"/>
      <c r="P143" s="43"/>
    </row>
    <row r="144">
      <c r="N144" s="43"/>
      <c r="O144" s="43"/>
      <c r="P144" s="43"/>
    </row>
    <row r="145">
      <c r="N145" s="43"/>
      <c r="O145" s="43"/>
      <c r="P145" s="43"/>
    </row>
    <row r="146">
      <c r="N146" s="43"/>
      <c r="O146" s="43"/>
      <c r="P146" s="43"/>
    </row>
    <row r="147">
      <c r="N147" s="43"/>
      <c r="O147" s="43"/>
      <c r="P147" s="43"/>
    </row>
    <row r="148">
      <c r="N148" s="43"/>
      <c r="O148" s="43"/>
      <c r="P148" s="43"/>
    </row>
    <row r="149">
      <c r="N149" s="43"/>
      <c r="O149" s="43"/>
      <c r="P149" s="43"/>
    </row>
    <row r="150">
      <c r="N150" s="43"/>
      <c r="O150" s="43"/>
      <c r="P150" s="43"/>
    </row>
    <row r="151">
      <c r="N151" s="43"/>
      <c r="O151" s="43"/>
      <c r="P151" s="43"/>
    </row>
    <row r="152">
      <c r="N152" s="43"/>
      <c r="O152" s="43"/>
      <c r="P152" s="43"/>
    </row>
    <row r="153">
      <c r="N153" s="43"/>
      <c r="O153" s="43"/>
      <c r="P153" s="43"/>
    </row>
    <row r="154">
      <c r="N154" s="43"/>
      <c r="O154" s="43"/>
      <c r="P154" s="43"/>
    </row>
    <row r="155">
      <c r="N155" s="43"/>
      <c r="O155" s="43"/>
      <c r="P155" s="43"/>
    </row>
    <row r="156">
      <c r="N156" s="43"/>
      <c r="O156" s="43"/>
      <c r="P156" s="43"/>
    </row>
    <row r="157">
      <c r="N157" s="43"/>
      <c r="O157" s="43"/>
      <c r="P157" s="43"/>
    </row>
    <row r="158">
      <c r="N158" s="43"/>
      <c r="O158" s="43"/>
      <c r="P158" s="43"/>
    </row>
    <row r="159">
      <c r="N159" s="43"/>
      <c r="O159" s="43"/>
      <c r="P159" s="43"/>
    </row>
    <row r="160">
      <c r="N160" s="43"/>
      <c r="O160" s="43"/>
      <c r="P160" s="43"/>
    </row>
    <row r="161">
      <c r="N161" s="43"/>
      <c r="O161" s="43"/>
      <c r="P161" s="43"/>
    </row>
    <row r="162">
      <c r="N162" s="43"/>
      <c r="O162" s="43"/>
      <c r="P162" s="43"/>
    </row>
    <row r="163">
      <c r="N163" s="43"/>
      <c r="O163" s="43"/>
      <c r="P163" s="43"/>
    </row>
    <row r="164">
      <c r="N164" s="43"/>
      <c r="O164" s="43"/>
      <c r="P164" s="43"/>
    </row>
    <row r="165">
      <c r="N165" s="43"/>
      <c r="O165" s="43"/>
      <c r="P165" s="43"/>
    </row>
    <row r="166">
      <c r="N166" s="43"/>
      <c r="O166" s="43"/>
      <c r="P166" s="43"/>
    </row>
    <row r="167">
      <c r="N167" s="43"/>
      <c r="O167" s="43"/>
      <c r="P167" s="43"/>
    </row>
    <row r="168">
      <c r="N168" s="43"/>
      <c r="O168" s="43"/>
      <c r="P168" s="43"/>
    </row>
    <row r="169">
      <c r="N169" s="43"/>
      <c r="O169" s="43"/>
      <c r="P169" s="43"/>
    </row>
    <row r="170">
      <c r="N170" s="43"/>
      <c r="O170" s="43"/>
      <c r="P170" s="43"/>
    </row>
    <row r="171">
      <c r="N171" s="43"/>
      <c r="O171" s="43"/>
      <c r="P171" s="43"/>
    </row>
    <row r="172">
      <c r="N172" s="43"/>
      <c r="O172" s="43"/>
      <c r="P172" s="43"/>
    </row>
    <row r="173">
      <c r="N173" s="43"/>
      <c r="O173" s="43"/>
      <c r="P173" s="43"/>
    </row>
    <row r="174">
      <c r="N174" s="43"/>
      <c r="O174" s="43"/>
      <c r="P174" s="43"/>
    </row>
    <row r="175">
      <c r="N175" s="43"/>
      <c r="O175" s="43"/>
      <c r="P175" s="43"/>
    </row>
    <row r="176">
      <c r="N176" s="43"/>
      <c r="O176" s="43"/>
      <c r="P176" s="43"/>
    </row>
    <row r="177">
      <c r="N177" s="43"/>
      <c r="O177" s="43"/>
      <c r="P177" s="43"/>
    </row>
    <row r="178">
      <c r="N178" s="43"/>
      <c r="O178" s="43"/>
      <c r="P178" s="43"/>
    </row>
    <row r="179">
      <c r="N179" s="43"/>
      <c r="O179" s="43"/>
      <c r="P179" s="43"/>
    </row>
    <row r="180">
      <c r="N180" s="43"/>
      <c r="O180" s="43"/>
      <c r="P180" s="43"/>
    </row>
    <row r="181">
      <c r="N181" s="43"/>
      <c r="O181" s="43"/>
      <c r="P181" s="43"/>
    </row>
    <row r="182">
      <c r="N182" s="43"/>
      <c r="O182" s="43"/>
      <c r="P182" s="43"/>
    </row>
    <row r="183">
      <c r="N183" s="43"/>
      <c r="O183" s="43"/>
      <c r="P183" s="43"/>
    </row>
    <row r="184">
      <c r="N184" s="43"/>
      <c r="O184" s="43"/>
      <c r="P184" s="43"/>
    </row>
    <row r="185">
      <c r="N185" s="43"/>
      <c r="O185" s="43"/>
      <c r="P185" s="43"/>
    </row>
    <row r="186">
      <c r="N186" s="43"/>
      <c r="O186" s="43"/>
      <c r="P186" s="43"/>
    </row>
    <row r="187">
      <c r="N187" s="43"/>
      <c r="O187" s="43"/>
      <c r="P187" s="43"/>
    </row>
    <row r="188">
      <c r="N188" s="43"/>
      <c r="O188" s="43"/>
      <c r="P188" s="43"/>
    </row>
    <row r="189">
      <c r="N189" s="43"/>
      <c r="O189" s="43"/>
      <c r="P189" s="43"/>
    </row>
    <row r="190">
      <c r="N190" s="43"/>
      <c r="O190" s="43"/>
      <c r="P190" s="43"/>
    </row>
    <row r="191">
      <c r="N191" s="43"/>
      <c r="O191" s="43"/>
      <c r="P191" s="43"/>
    </row>
    <row r="192">
      <c r="N192" s="43"/>
      <c r="O192" s="43"/>
      <c r="P192" s="43"/>
    </row>
    <row r="193">
      <c r="N193" s="43"/>
      <c r="O193" s="43"/>
      <c r="P193" s="43"/>
    </row>
    <row r="194">
      <c r="N194" s="43"/>
      <c r="O194" s="43"/>
      <c r="P194" s="43"/>
    </row>
    <row r="195">
      <c r="N195" s="43"/>
      <c r="O195" s="43"/>
      <c r="P195" s="43"/>
    </row>
    <row r="196">
      <c r="N196" s="43"/>
      <c r="O196" s="43"/>
      <c r="P196" s="43"/>
    </row>
    <row r="197">
      <c r="N197" s="43"/>
      <c r="O197" s="43"/>
      <c r="P197" s="43"/>
    </row>
    <row r="198">
      <c r="N198" s="43"/>
      <c r="O198" s="43"/>
      <c r="P198" s="43"/>
    </row>
    <row r="199">
      <c r="N199" s="43"/>
      <c r="O199" s="43"/>
      <c r="P199" s="43"/>
    </row>
    <row r="200">
      <c r="N200" s="43"/>
      <c r="O200" s="43"/>
      <c r="P200" s="43"/>
    </row>
    <row r="201">
      <c r="N201" s="43"/>
      <c r="O201" s="43"/>
      <c r="P201" s="43"/>
    </row>
    <row r="202">
      <c r="N202" s="43"/>
      <c r="O202" s="43"/>
      <c r="P202" s="43"/>
    </row>
    <row r="203">
      <c r="N203" s="43"/>
      <c r="O203" s="43"/>
      <c r="P203" s="43"/>
    </row>
    <row r="204">
      <c r="N204" s="43"/>
      <c r="O204" s="43"/>
      <c r="P204" s="43"/>
    </row>
    <row r="205">
      <c r="N205" s="43"/>
      <c r="O205" s="43"/>
      <c r="P205" s="43"/>
    </row>
    <row r="206">
      <c r="N206" s="43"/>
      <c r="O206" s="43"/>
      <c r="P206" s="43"/>
    </row>
    <row r="207">
      <c r="N207" s="43"/>
      <c r="O207" s="43"/>
      <c r="P207" s="43"/>
    </row>
    <row r="208">
      <c r="N208" s="43"/>
      <c r="O208" s="43"/>
      <c r="P208" s="43"/>
    </row>
    <row r="209">
      <c r="N209" s="43"/>
      <c r="O209" s="43"/>
      <c r="P209" s="43"/>
    </row>
    <row r="210">
      <c r="N210" s="43"/>
      <c r="O210" s="43"/>
      <c r="P210" s="43"/>
    </row>
    <row r="211">
      <c r="N211" s="43"/>
      <c r="O211" s="43"/>
      <c r="P211" s="43"/>
    </row>
    <row r="212">
      <c r="N212" s="43"/>
      <c r="O212" s="43"/>
      <c r="P212" s="43"/>
    </row>
    <row r="213">
      <c r="N213" s="43"/>
      <c r="O213" s="43"/>
      <c r="P213" s="43"/>
    </row>
    <row r="214">
      <c r="N214" s="43"/>
      <c r="O214" s="43"/>
      <c r="P214" s="43"/>
    </row>
    <row r="215">
      <c r="N215" s="43"/>
      <c r="O215" s="43"/>
      <c r="P215" s="43"/>
    </row>
    <row r="216">
      <c r="N216" s="43"/>
      <c r="O216" s="43"/>
      <c r="P216" s="43"/>
    </row>
    <row r="217">
      <c r="N217" s="43"/>
      <c r="O217" s="43"/>
      <c r="P217" s="43"/>
    </row>
    <row r="218">
      <c r="N218" s="43"/>
      <c r="O218" s="43"/>
      <c r="P218" s="43"/>
    </row>
    <row r="219">
      <c r="N219" s="43"/>
      <c r="O219" s="43"/>
      <c r="P219" s="43"/>
    </row>
    <row r="220">
      <c r="N220" s="43"/>
      <c r="O220" s="43"/>
      <c r="P220" s="43"/>
    </row>
    <row r="221">
      <c r="N221" s="43"/>
      <c r="O221" s="43"/>
      <c r="P221" s="43"/>
    </row>
    <row r="222">
      <c r="N222" s="43"/>
      <c r="O222" s="43"/>
      <c r="P222" s="43"/>
    </row>
    <row r="223">
      <c r="N223" s="43"/>
      <c r="O223" s="43"/>
      <c r="P223" s="43"/>
    </row>
    <row r="224">
      <c r="N224" s="43"/>
      <c r="O224" s="43"/>
      <c r="P224" s="43"/>
    </row>
    <row r="225">
      <c r="N225" s="43"/>
      <c r="O225" s="43"/>
      <c r="P225" s="43"/>
    </row>
    <row r="226">
      <c r="N226" s="43"/>
      <c r="O226" s="43"/>
      <c r="P226" s="43"/>
    </row>
    <row r="227">
      <c r="N227" s="43"/>
      <c r="O227" s="43"/>
      <c r="P227" s="43"/>
    </row>
    <row r="228">
      <c r="N228" s="43"/>
      <c r="O228" s="43"/>
      <c r="P228" s="43"/>
    </row>
    <row r="229">
      <c r="N229" s="43"/>
      <c r="O229" s="43"/>
      <c r="P229" s="43"/>
    </row>
    <row r="230">
      <c r="N230" s="43"/>
      <c r="O230" s="43"/>
      <c r="P230" s="43"/>
    </row>
    <row r="231">
      <c r="N231" s="43"/>
      <c r="O231" s="43"/>
      <c r="P231" s="43"/>
    </row>
    <row r="232">
      <c r="N232" s="43"/>
      <c r="O232" s="43"/>
      <c r="P232" s="43"/>
    </row>
    <row r="233">
      <c r="N233" s="43"/>
      <c r="O233" s="43"/>
      <c r="P233" s="43"/>
    </row>
    <row r="234">
      <c r="N234" s="43"/>
      <c r="O234" s="43"/>
      <c r="P234" s="43"/>
    </row>
    <row r="235">
      <c r="N235" s="43"/>
      <c r="O235" s="43"/>
      <c r="P235" s="43"/>
    </row>
    <row r="236">
      <c r="N236" s="43"/>
      <c r="O236" s="43"/>
      <c r="P236" s="43"/>
    </row>
    <row r="237">
      <c r="N237" s="43"/>
      <c r="O237" s="43"/>
      <c r="P237" s="43"/>
    </row>
    <row r="238">
      <c r="N238" s="43"/>
      <c r="O238" s="43"/>
      <c r="P238" s="43"/>
    </row>
    <row r="239">
      <c r="N239" s="43"/>
      <c r="O239" s="43"/>
      <c r="P239" s="43"/>
    </row>
    <row r="240">
      <c r="N240" s="43"/>
      <c r="O240" s="43"/>
      <c r="P240" s="43"/>
    </row>
    <row r="241">
      <c r="N241" s="43"/>
      <c r="O241" s="43"/>
      <c r="P241" s="43"/>
    </row>
    <row r="242">
      <c r="N242" s="43"/>
      <c r="O242" s="43"/>
      <c r="P242" s="43"/>
    </row>
    <row r="243">
      <c r="N243" s="43"/>
      <c r="O243" s="43"/>
      <c r="P243" s="43"/>
    </row>
    <row r="244">
      <c r="N244" s="43"/>
      <c r="O244" s="43"/>
      <c r="P244" s="43"/>
    </row>
    <row r="245">
      <c r="N245" s="43"/>
      <c r="O245" s="43"/>
      <c r="P245" s="43"/>
    </row>
    <row r="246">
      <c r="N246" s="43"/>
      <c r="O246" s="43"/>
      <c r="P246" s="43"/>
    </row>
    <row r="247">
      <c r="N247" s="43"/>
      <c r="O247" s="43"/>
      <c r="P247" s="43"/>
    </row>
    <row r="248">
      <c r="N248" s="43"/>
      <c r="O248" s="43"/>
      <c r="P248" s="43"/>
    </row>
    <row r="249">
      <c r="N249" s="43"/>
      <c r="O249" s="43"/>
      <c r="P249" s="43"/>
    </row>
    <row r="250">
      <c r="N250" s="43"/>
      <c r="O250" s="43"/>
      <c r="P250" s="43"/>
    </row>
    <row r="251">
      <c r="N251" s="43"/>
      <c r="O251" s="43"/>
      <c r="P251" s="43"/>
    </row>
    <row r="252">
      <c r="N252" s="43"/>
      <c r="O252" s="43"/>
      <c r="P252" s="43"/>
    </row>
    <row r="253">
      <c r="N253" s="43"/>
      <c r="O253" s="43"/>
      <c r="P253" s="43"/>
    </row>
    <row r="254">
      <c r="N254" s="43"/>
      <c r="O254" s="43"/>
      <c r="P254" s="43"/>
    </row>
    <row r="255">
      <c r="N255" s="43"/>
      <c r="O255" s="43"/>
      <c r="P255" s="43"/>
    </row>
    <row r="256">
      <c r="N256" s="43"/>
      <c r="O256" s="43"/>
      <c r="P256" s="43"/>
    </row>
    <row r="257">
      <c r="N257" s="43"/>
      <c r="O257" s="43"/>
      <c r="P257" s="43"/>
    </row>
    <row r="258">
      <c r="N258" s="43"/>
      <c r="O258" s="43"/>
      <c r="P258" s="43"/>
    </row>
    <row r="259">
      <c r="N259" s="43"/>
      <c r="O259" s="43"/>
      <c r="P259" s="43"/>
    </row>
    <row r="260">
      <c r="N260" s="43"/>
      <c r="O260" s="43"/>
      <c r="P260" s="43"/>
    </row>
    <row r="261">
      <c r="N261" s="43"/>
      <c r="O261" s="43"/>
      <c r="P261" s="43"/>
    </row>
    <row r="262">
      <c r="N262" s="43"/>
      <c r="O262" s="43"/>
      <c r="P262" s="43"/>
    </row>
    <row r="263">
      <c r="N263" s="43"/>
      <c r="O263" s="43"/>
      <c r="P263" s="43"/>
    </row>
    <row r="264">
      <c r="N264" s="43"/>
      <c r="O264" s="43"/>
      <c r="P264" s="43"/>
    </row>
    <row r="265">
      <c r="N265" s="43"/>
      <c r="O265" s="43"/>
      <c r="P265" s="43"/>
    </row>
    <row r="266">
      <c r="N266" s="43"/>
      <c r="O266" s="43"/>
      <c r="P266" s="43"/>
    </row>
    <row r="267">
      <c r="N267" s="43"/>
      <c r="O267" s="43"/>
      <c r="P267" s="43"/>
    </row>
    <row r="268">
      <c r="N268" s="43"/>
      <c r="O268" s="43"/>
      <c r="P268" s="43"/>
    </row>
    <row r="269">
      <c r="N269" s="43"/>
      <c r="O269" s="43"/>
      <c r="P269" s="43"/>
    </row>
    <row r="270">
      <c r="N270" s="43"/>
      <c r="O270" s="43"/>
      <c r="P270" s="43"/>
    </row>
    <row r="271">
      <c r="N271" s="43"/>
      <c r="O271" s="43"/>
      <c r="P271" s="43"/>
    </row>
    <row r="272">
      <c r="N272" s="43"/>
      <c r="O272" s="43"/>
      <c r="P272" s="43"/>
    </row>
    <row r="273">
      <c r="N273" s="43"/>
      <c r="O273" s="43"/>
      <c r="P273" s="43"/>
    </row>
    <row r="274">
      <c r="N274" s="43"/>
      <c r="O274" s="43"/>
      <c r="P274" s="43"/>
    </row>
    <row r="275">
      <c r="N275" s="43"/>
      <c r="O275" s="43"/>
      <c r="P275" s="43"/>
    </row>
    <row r="276">
      <c r="N276" s="43"/>
      <c r="O276" s="43"/>
      <c r="P276" s="43"/>
    </row>
    <row r="277">
      <c r="N277" s="43"/>
      <c r="O277" s="43"/>
      <c r="P277" s="43"/>
    </row>
    <row r="278">
      <c r="N278" s="43"/>
      <c r="O278" s="43"/>
      <c r="P278" s="43"/>
    </row>
    <row r="279">
      <c r="N279" s="43"/>
      <c r="O279" s="43"/>
      <c r="P279" s="43"/>
    </row>
    <row r="280">
      <c r="N280" s="43"/>
      <c r="O280" s="43"/>
      <c r="P280" s="43"/>
    </row>
    <row r="281">
      <c r="N281" s="43"/>
      <c r="O281" s="43"/>
      <c r="P281" s="43"/>
    </row>
    <row r="282">
      <c r="N282" s="43"/>
      <c r="O282" s="43"/>
      <c r="P282" s="43"/>
    </row>
    <row r="283">
      <c r="N283" s="43"/>
      <c r="O283" s="43"/>
      <c r="P283" s="43"/>
    </row>
    <row r="284">
      <c r="N284" s="43"/>
      <c r="O284" s="43"/>
      <c r="P284" s="43"/>
    </row>
    <row r="285">
      <c r="N285" s="43"/>
      <c r="O285" s="43"/>
      <c r="P285" s="43"/>
    </row>
    <row r="286">
      <c r="N286" s="43"/>
      <c r="O286" s="43"/>
      <c r="P286" s="43"/>
    </row>
    <row r="287">
      <c r="N287" s="43"/>
      <c r="O287" s="43"/>
      <c r="P287" s="43"/>
    </row>
    <row r="288">
      <c r="N288" s="43"/>
      <c r="O288" s="43"/>
      <c r="P288" s="43"/>
    </row>
    <row r="289">
      <c r="N289" s="43"/>
      <c r="O289" s="43"/>
      <c r="P289" s="43"/>
    </row>
    <row r="290">
      <c r="N290" s="43"/>
      <c r="O290" s="43"/>
      <c r="P290" s="43"/>
    </row>
    <row r="291">
      <c r="N291" s="43"/>
      <c r="O291" s="43"/>
      <c r="P291" s="43"/>
    </row>
    <row r="292">
      <c r="N292" s="43"/>
      <c r="O292" s="43"/>
      <c r="P292" s="43"/>
    </row>
    <row r="293">
      <c r="N293" s="43"/>
      <c r="O293" s="43"/>
      <c r="P293" s="43"/>
    </row>
    <row r="294">
      <c r="N294" s="43"/>
      <c r="O294" s="43"/>
      <c r="P294" s="43"/>
    </row>
    <row r="295">
      <c r="N295" s="43"/>
      <c r="O295" s="43"/>
      <c r="P295" s="43"/>
    </row>
    <row r="296">
      <c r="N296" s="43"/>
      <c r="O296" s="43"/>
      <c r="P296" s="43"/>
    </row>
    <row r="297">
      <c r="N297" s="43"/>
      <c r="O297" s="43"/>
      <c r="P297" s="43"/>
    </row>
    <row r="298">
      <c r="N298" s="43"/>
      <c r="O298" s="43"/>
      <c r="P298" s="43"/>
    </row>
    <row r="299">
      <c r="N299" s="43"/>
      <c r="O299" s="43"/>
      <c r="P299" s="43"/>
    </row>
    <row r="300">
      <c r="N300" s="43"/>
      <c r="O300" s="43"/>
      <c r="P300" s="43"/>
    </row>
    <row r="301">
      <c r="N301" s="43"/>
      <c r="O301" s="43"/>
      <c r="P301" s="43"/>
    </row>
    <row r="302">
      <c r="N302" s="43"/>
      <c r="O302" s="43"/>
      <c r="P302" s="43"/>
    </row>
    <row r="303">
      <c r="N303" s="43"/>
      <c r="O303" s="43"/>
      <c r="P303" s="43"/>
    </row>
    <row r="304">
      <c r="N304" s="43"/>
      <c r="O304" s="43"/>
      <c r="P304" s="43"/>
    </row>
    <row r="305">
      <c r="N305" s="43"/>
      <c r="O305" s="43"/>
      <c r="P305" s="43"/>
    </row>
    <row r="306">
      <c r="N306" s="43"/>
      <c r="O306" s="43"/>
      <c r="P306" s="43"/>
    </row>
    <row r="307">
      <c r="N307" s="43"/>
      <c r="O307" s="43"/>
      <c r="P307" s="43"/>
    </row>
    <row r="308">
      <c r="N308" s="43"/>
      <c r="O308" s="43"/>
      <c r="P308" s="43"/>
    </row>
    <row r="309">
      <c r="N309" s="43"/>
      <c r="O309" s="43"/>
      <c r="P309" s="43"/>
    </row>
    <row r="310">
      <c r="N310" s="43"/>
      <c r="O310" s="43"/>
      <c r="P310" s="43"/>
    </row>
    <row r="311">
      <c r="N311" s="43"/>
      <c r="O311" s="43"/>
      <c r="P311" s="43"/>
    </row>
    <row r="312">
      <c r="N312" s="43"/>
      <c r="O312" s="43"/>
      <c r="P312" s="43"/>
    </row>
    <row r="313">
      <c r="N313" s="43"/>
      <c r="O313" s="43"/>
      <c r="P313" s="43"/>
    </row>
    <row r="314">
      <c r="N314" s="43"/>
      <c r="O314" s="43"/>
      <c r="P314" s="43"/>
    </row>
    <row r="315">
      <c r="N315" s="43"/>
      <c r="O315" s="43"/>
      <c r="P315" s="43"/>
    </row>
    <row r="316">
      <c r="N316" s="43"/>
      <c r="O316" s="43"/>
      <c r="P316" s="43"/>
    </row>
    <row r="317">
      <c r="N317" s="43"/>
      <c r="O317" s="43"/>
      <c r="P317" s="43"/>
    </row>
    <row r="318">
      <c r="N318" s="43"/>
      <c r="O318" s="43"/>
      <c r="P318" s="43"/>
    </row>
    <row r="319">
      <c r="N319" s="43"/>
      <c r="O319" s="43"/>
      <c r="P319" s="43"/>
    </row>
    <row r="320">
      <c r="N320" s="43"/>
      <c r="O320" s="43"/>
      <c r="P320" s="43"/>
    </row>
    <row r="321">
      <c r="N321" s="43"/>
      <c r="O321" s="43"/>
      <c r="P321" s="43"/>
    </row>
    <row r="322">
      <c r="N322" s="43"/>
      <c r="O322" s="43"/>
      <c r="P322" s="43"/>
    </row>
    <row r="323">
      <c r="N323" s="43"/>
      <c r="O323" s="43"/>
      <c r="P323" s="43"/>
    </row>
    <row r="324">
      <c r="N324" s="43"/>
      <c r="O324" s="43"/>
      <c r="P324" s="43"/>
    </row>
    <row r="325">
      <c r="N325" s="43"/>
      <c r="O325" s="43"/>
      <c r="P325" s="43"/>
    </row>
    <row r="326">
      <c r="N326" s="43"/>
      <c r="O326" s="43"/>
      <c r="P326" s="43"/>
    </row>
    <row r="327">
      <c r="N327" s="43"/>
      <c r="O327" s="43"/>
      <c r="P327" s="43"/>
    </row>
    <row r="328">
      <c r="N328" s="43"/>
      <c r="O328" s="43"/>
      <c r="P328" s="43"/>
    </row>
    <row r="329">
      <c r="N329" s="43"/>
      <c r="O329" s="43"/>
      <c r="P329" s="43"/>
    </row>
    <row r="330">
      <c r="N330" s="43"/>
      <c r="O330" s="43"/>
      <c r="P330" s="43"/>
    </row>
    <row r="331">
      <c r="N331" s="43"/>
      <c r="O331" s="43"/>
      <c r="P331" s="43"/>
    </row>
    <row r="332">
      <c r="N332" s="43"/>
      <c r="O332" s="43"/>
      <c r="P332" s="43"/>
    </row>
    <row r="333">
      <c r="N333" s="43"/>
      <c r="O333" s="43"/>
      <c r="P333" s="43"/>
    </row>
    <row r="334">
      <c r="N334" s="43"/>
      <c r="O334" s="43"/>
      <c r="P334" s="43"/>
    </row>
    <row r="335">
      <c r="N335" s="43"/>
      <c r="O335" s="43"/>
      <c r="P335" s="43"/>
    </row>
    <row r="336">
      <c r="N336" s="43"/>
      <c r="O336" s="43"/>
      <c r="P336" s="43"/>
    </row>
    <row r="337">
      <c r="N337" s="43"/>
      <c r="O337" s="43"/>
      <c r="P337" s="43"/>
    </row>
    <row r="338">
      <c r="N338" s="43"/>
      <c r="O338" s="43"/>
      <c r="P338" s="43"/>
    </row>
    <row r="339">
      <c r="N339" s="43"/>
      <c r="O339" s="43"/>
      <c r="P339" s="43"/>
    </row>
    <row r="340">
      <c r="N340" s="43"/>
      <c r="O340" s="43"/>
      <c r="P340" s="43"/>
    </row>
    <row r="341">
      <c r="N341" s="43"/>
      <c r="O341" s="43"/>
      <c r="P341" s="43"/>
    </row>
    <row r="342">
      <c r="N342" s="43"/>
      <c r="O342" s="43"/>
      <c r="P342" s="43"/>
    </row>
    <row r="343">
      <c r="N343" s="43"/>
      <c r="O343" s="43"/>
      <c r="P343" s="43"/>
    </row>
    <row r="344">
      <c r="N344" s="43"/>
      <c r="O344" s="43"/>
      <c r="P344" s="43"/>
    </row>
    <row r="345">
      <c r="N345" s="43"/>
      <c r="O345" s="43"/>
      <c r="P345" s="43"/>
    </row>
    <row r="346">
      <c r="N346" s="43"/>
      <c r="O346" s="43"/>
      <c r="P346" s="43"/>
    </row>
    <row r="347">
      <c r="N347" s="43"/>
      <c r="O347" s="43"/>
      <c r="P347" s="43"/>
    </row>
    <row r="348">
      <c r="N348" s="43"/>
      <c r="O348" s="43"/>
      <c r="P348" s="43"/>
    </row>
    <row r="349">
      <c r="N349" s="43"/>
      <c r="O349" s="43"/>
      <c r="P349" s="43"/>
    </row>
    <row r="350">
      <c r="N350" s="43"/>
      <c r="O350" s="43"/>
      <c r="P350" s="43"/>
    </row>
    <row r="351">
      <c r="N351" s="43"/>
      <c r="O351" s="43"/>
      <c r="P351" s="43"/>
    </row>
    <row r="352">
      <c r="N352" s="43"/>
      <c r="O352" s="43"/>
      <c r="P352" s="43"/>
    </row>
    <row r="353">
      <c r="N353" s="43"/>
      <c r="O353" s="43"/>
      <c r="P353" s="43"/>
    </row>
    <row r="354">
      <c r="N354" s="43"/>
      <c r="O354" s="43"/>
      <c r="P354" s="43"/>
    </row>
    <row r="355">
      <c r="N355" s="43"/>
      <c r="O355" s="43"/>
      <c r="P355" s="43"/>
    </row>
    <row r="356">
      <c r="N356" s="43"/>
      <c r="O356" s="43"/>
      <c r="P356" s="43"/>
    </row>
    <row r="357">
      <c r="N357" s="43"/>
      <c r="O357" s="43"/>
      <c r="P357" s="43"/>
    </row>
    <row r="358">
      <c r="N358" s="43"/>
      <c r="O358" s="43"/>
      <c r="P358" s="43"/>
    </row>
    <row r="359">
      <c r="N359" s="43"/>
      <c r="O359" s="43"/>
      <c r="P359" s="43"/>
    </row>
    <row r="360">
      <c r="N360" s="43"/>
      <c r="O360" s="43"/>
      <c r="P360" s="43"/>
    </row>
    <row r="361">
      <c r="N361" s="43"/>
      <c r="O361" s="43"/>
      <c r="P361" s="43"/>
    </row>
    <row r="362">
      <c r="N362" s="43"/>
      <c r="O362" s="43"/>
      <c r="P362" s="43"/>
    </row>
    <row r="363">
      <c r="N363" s="43"/>
      <c r="O363" s="43"/>
      <c r="P363" s="43"/>
    </row>
    <row r="364">
      <c r="N364" s="43"/>
      <c r="O364" s="43"/>
      <c r="P364" s="43"/>
    </row>
    <row r="365">
      <c r="N365" s="43"/>
      <c r="O365" s="43"/>
      <c r="P365" s="43"/>
    </row>
    <row r="366">
      <c r="N366" s="43"/>
      <c r="O366" s="43"/>
      <c r="P366" s="43"/>
    </row>
    <row r="367">
      <c r="N367" s="43"/>
      <c r="O367" s="43"/>
      <c r="P367" s="43"/>
    </row>
    <row r="368">
      <c r="N368" s="43"/>
      <c r="O368" s="43"/>
      <c r="P368" s="43"/>
    </row>
    <row r="369">
      <c r="N369" s="43"/>
      <c r="O369" s="43"/>
      <c r="P369" s="43"/>
    </row>
    <row r="370">
      <c r="N370" s="43"/>
      <c r="O370" s="43"/>
      <c r="P370" s="43"/>
    </row>
    <row r="371">
      <c r="N371" s="43"/>
      <c r="O371" s="43"/>
      <c r="P371" s="43"/>
    </row>
    <row r="372">
      <c r="N372" s="43"/>
      <c r="O372" s="43"/>
      <c r="P372" s="43"/>
    </row>
    <row r="373">
      <c r="N373" s="43"/>
      <c r="O373" s="43"/>
      <c r="P373" s="43"/>
    </row>
    <row r="374">
      <c r="N374" s="43"/>
      <c r="O374" s="43"/>
      <c r="P374" s="43"/>
    </row>
    <row r="375">
      <c r="N375" s="43"/>
      <c r="O375" s="43"/>
      <c r="P375" s="43"/>
    </row>
    <row r="376">
      <c r="N376" s="43"/>
      <c r="O376" s="43"/>
      <c r="P376" s="43"/>
    </row>
    <row r="377">
      <c r="N377" s="43"/>
      <c r="O377" s="43"/>
      <c r="P377" s="43"/>
    </row>
    <row r="378">
      <c r="N378" s="43"/>
      <c r="O378" s="43"/>
      <c r="P378" s="43"/>
    </row>
    <row r="379">
      <c r="N379" s="43"/>
      <c r="O379" s="43"/>
      <c r="P379" s="43"/>
    </row>
    <row r="380">
      <c r="N380" s="43"/>
      <c r="O380" s="43"/>
      <c r="P380" s="43"/>
    </row>
    <row r="381">
      <c r="N381" s="43"/>
      <c r="O381" s="43"/>
      <c r="P381" s="43"/>
    </row>
    <row r="382">
      <c r="N382" s="43"/>
      <c r="O382" s="43"/>
      <c r="P382" s="43"/>
    </row>
    <row r="383">
      <c r="N383" s="43"/>
      <c r="O383" s="43"/>
      <c r="P383" s="43"/>
    </row>
    <row r="384">
      <c r="N384" s="43"/>
      <c r="O384" s="43"/>
      <c r="P384" s="43"/>
    </row>
    <row r="385">
      <c r="N385" s="43"/>
      <c r="O385" s="43"/>
      <c r="P385" s="43"/>
    </row>
    <row r="386">
      <c r="N386" s="43"/>
      <c r="O386" s="43"/>
      <c r="P386" s="43"/>
    </row>
    <row r="387">
      <c r="N387" s="43"/>
      <c r="O387" s="43"/>
      <c r="P387" s="43"/>
    </row>
    <row r="388">
      <c r="N388" s="43"/>
      <c r="O388" s="43"/>
      <c r="P388" s="43"/>
    </row>
    <row r="389">
      <c r="N389" s="43"/>
      <c r="O389" s="43"/>
      <c r="P389" s="43"/>
    </row>
    <row r="390">
      <c r="N390" s="43"/>
      <c r="O390" s="43"/>
      <c r="P390" s="43"/>
    </row>
    <row r="391">
      <c r="N391" s="43"/>
      <c r="O391" s="43"/>
      <c r="P391" s="43"/>
    </row>
    <row r="392">
      <c r="N392" s="43"/>
      <c r="O392" s="43"/>
      <c r="P392" s="43"/>
    </row>
    <row r="393">
      <c r="N393" s="43"/>
      <c r="O393" s="43"/>
      <c r="P393" s="43"/>
    </row>
    <row r="394">
      <c r="N394" s="43"/>
      <c r="O394" s="43"/>
      <c r="P394" s="43"/>
    </row>
    <row r="395">
      <c r="N395" s="43"/>
      <c r="O395" s="43"/>
      <c r="P395" s="43"/>
    </row>
    <row r="396">
      <c r="N396" s="43"/>
      <c r="O396" s="43"/>
      <c r="P396" s="43"/>
    </row>
    <row r="397">
      <c r="N397" s="43"/>
      <c r="O397" s="43"/>
      <c r="P397" s="43"/>
    </row>
    <row r="398">
      <c r="N398" s="43"/>
      <c r="O398" s="43"/>
      <c r="P398" s="43"/>
    </row>
    <row r="399">
      <c r="N399" s="43"/>
      <c r="O399" s="43"/>
      <c r="P399" s="43"/>
    </row>
    <row r="400">
      <c r="N400" s="43"/>
      <c r="O400" s="43"/>
      <c r="P400" s="43"/>
    </row>
    <row r="401">
      <c r="N401" s="43"/>
      <c r="O401" s="43"/>
      <c r="P401" s="43"/>
    </row>
    <row r="402">
      <c r="N402" s="43"/>
      <c r="O402" s="43"/>
      <c r="P402" s="43"/>
    </row>
    <row r="403">
      <c r="N403" s="43"/>
      <c r="O403" s="43"/>
      <c r="P403" s="43"/>
    </row>
    <row r="404">
      <c r="N404" s="43"/>
      <c r="O404" s="43"/>
      <c r="P404" s="43"/>
    </row>
    <row r="405">
      <c r="N405" s="43"/>
      <c r="O405" s="43"/>
      <c r="P405" s="43"/>
    </row>
    <row r="406">
      <c r="N406" s="43"/>
      <c r="O406" s="43"/>
      <c r="P406" s="43"/>
    </row>
    <row r="407">
      <c r="N407" s="43"/>
      <c r="O407" s="43"/>
      <c r="P407" s="43"/>
    </row>
    <row r="408">
      <c r="N408" s="43"/>
      <c r="O408" s="43"/>
      <c r="P408" s="43"/>
    </row>
    <row r="409">
      <c r="N409" s="43"/>
      <c r="O409" s="43"/>
      <c r="P409" s="43"/>
    </row>
    <row r="410">
      <c r="N410" s="43"/>
      <c r="O410" s="43"/>
      <c r="P410" s="43"/>
    </row>
    <row r="411">
      <c r="N411" s="43"/>
      <c r="O411" s="43"/>
      <c r="P411" s="43"/>
    </row>
    <row r="412">
      <c r="N412" s="43"/>
      <c r="O412" s="43"/>
      <c r="P412" s="43"/>
    </row>
    <row r="413">
      <c r="N413" s="43"/>
      <c r="O413" s="43"/>
      <c r="P413" s="43"/>
    </row>
    <row r="414">
      <c r="N414" s="43"/>
      <c r="O414" s="43"/>
      <c r="P414" s="43"/>
    </row>
    <row r="415">
      <c r="N415" s="43"/>
      <c r="O415" s="43"/>
      <c r="P415" s="43"/>
    </row>
    <row r="416">
      <c r="N416" s="43"/>
      <c r="O416" s="43"/>
      <c r="P416" s="43"/>
    </row>
    <row r="417">
      <c r="N417" s="43"/>
      <c r="O417" s="43"/>
      <c r="P417" s="43"/>
    </row>
    <row r="418">
      <c r="N418" s="43"/>
      <c r="O418" s="43"/>
      <c r="P418" s="43"/>
    </row>
    <row r="419">
      <c r="N419" s="43"/>
      <c r="O419" s="43"/>
      <c r="P419" s="43"/>
    </row>
    <row r="420">
      <c r="N420" s="43"/>
      <c r="O420" s="43"/>
      <c r="P420" s="43"/>
    </row>
    <row r="421">
      <c r="N421" s="43"/>
      <c r="O421" s="43"/>
      <c r="P421" s="43"/>
    </row>
    <row r="422">
      <c r="N422" s="43"/>
      <c r="O422" s="43"/>
      <c r="P422" s="43"/>
    </row>
    <row r="423">
      <c r="N423" s="43"/>
      <c r="O423" s="43"/>
      <c r="P423" s="43"/>
    </row>
    <row r="424">
      <c r="N424" s="43"/>
      <c r="O424" s="43"/>
      <c r="P424" s="43"/>
    </row>
    <row r="425">
      <c r="N425" s="43"/>
      <c r="O425" s="43"/>
      <c r="P425" s="43"/>
    </row>
    <row r="426">
      <c r="N426" s="43"/>
      <c r="O426" s="43"/>
      <c r="P426" s="43"/>
    </row>
    <row r="427">
      <c r="N427" s="43"/>
      <c r="O427" s="43"/>
      <c r="P427" s="43"/>
    </row>
    <row r="428">
      <c r="N428" s="43"/>
      <c r="O428" s="43"/>
      <c r="P428" s="43"/>
    </row>
    <row r="429">
      <c r="N429" s="43"/>
      <c r="O429" s="43"/>
      <c r="P429" s="43"/>
    </row>
    <row r="430">
      <c r="N430" s="43"/>
      <c r="O430" s="43"/>
      <c r="P430" s="43"/>
    </row>
    <row r="431">
      <c r="N431" s="43"/>
      <c r="O431" s="43"/>
      <c r="P431" s="43"/>
    </row>
    <row r="432">
      <c r="N432" s="43"/>
      <c r="O432" s="43"/>
      <c r="P432" s="43"/>
    </row>
    <row r="433">
      <c r="N433" s="43"/>
      <c r="O433" s="43"/>
      <c r="P433" s="43"/>
    </row>
    <row r="434">
      <c r="N434" s="43"/>
      <c r="O434" s="43"/>
      <c r="P434" s="43"/>
    </row>
    <row r="435">
      <c r="N435" s="43"/>
      <c r="O435" s="43"/>
      <c r="P435" s="43"/>
    </row>
    <row r="436">
      <c r="N436" s="43"/>
      <c r="O436" s="43"/>
      <c r="P436" s="43"/>
    </row>
    <row r="437">
      <c r="N437" s="43"/>
      <c r="O437" s="43"/>
      <c r="P437" s="43"/>
    </row>
    <row r="438">
      <c r="N438" s="43"/>
      <c r="O438" s="43"/>
      <c r="P438" s="43"/>
    </row>
    <row r="439">
      <c r="N439" s="43"/>
      <c r="O439" s="43"/>
      <c r="P439" s="43"/>
    </row>
    <row r="440">
      <c r="N440" s="43"/>
      <c r="O440" s="43"/>
      <c r="P440" s="43"/>
    </row>
    <row r="441">
      <c r="N441" s="43"/>
      <c r="O441" s="43"/>
      <c r="P441" s="43"/>
    </row>
    <row r="442">
      <c r="N442" s="43"/>
      <c r="O442" s="43"/>
      <c r="P442" s="43"/>
    </row>
    <row r="443">
      <c r="N443" s="43"/>
      <c r="O443" s="43"/>
      <c r="P443" s="43"/>
    </row>
    <row r="444">
      <c r="N444" s="43"/>
      <c r="O444" s="43"/>
      <c r="P444" s="43"/>
    </row>
    <row r="445">
      <c r="N445" s="43"/>
      <c r="O445" s="43"/>
      <c r="P445" s="43"/>
    </row>
    <row r="446">
      <c r="N446" s="43"/>
      <c r="O446" s="43"/>
      <c r="P446" s="43"/>
    </row>
    <row r="447">
      <c r="N447" s="43"/>
      <c r="O447" s="43"/>
      <c r="P447" s="43"/>
    </row>
    <row r="448">
      <c r="N448" s="43"/>
      <c r="O448" s="43"/>
      <c r="P448" s="43"/>
    </row>
    <row r="449">
      <c r="N449" s="43"/>
      <c r="O449" s="43"/>
      <c r="P449" s="43"/>
    </row>
    <row r="450">
      <c r="N450" s="43"/>
      <c r="O450" s="43"/>
      <c r="P450" s="43"/>
    </row>
    <row r="451">
      <c r="N451" s="43"/>
      <c r="O451" s="43"/>
      <c r="P451" s="43"/>
    </row>
    <row r="452">
      <c r="N452" s="43"/>
      <c r="O452" s="43"/>
      <c r="P452" s="43"/>
    </row>
    <row r="453">
      <c r="N453" s="43"/>
      <c r="O453" s="43"/>
      <c r="P453" s="43"/>
    </row>
    <row r="454">
      <c r="N454" s="43"/>
      <c r="O454" s="43"/>
      <c r="P454" s="43"/>
    </row>
    <row r="455">
      <c r="N455" s="43"/>
      <c r="O455" s="43"/>
      <c r="P455" s="43"/>
    </row>
    <row r="456">
      <c r="N456" s="43"/>
      <c r="O456" s="43"/>
      <c r="P456" s="43"/>
    </row>
    <row r="457">
      <c r="N457" s="43"/>
      <c r="O457" s="43"/>
      <c r="P457" s="43"/>
    </row>
    <row r="458">
      <c r="N458" s="43"/>
      <c r="O458" s="43"/>
      <c r="P458" s="43"/>
    </row>
    <row r="459">
      <c r="N459" s="43"/>
      <c r="O459" s="43"/>
      <c r="P459" s="43"/>
    </row>
    <row r="460">
      <c r="N460" s="43"/>
      <c r="O460" s="43"/>
      <c r="P460" s="43"/>
    </row>
    <row r="461">
      <c r="N461" s="43"/>
      <c r="O461" s="43"/>
      <c r="P461" s="43"/>
    </row>
    <row r="462">
      <c r="N462" s="43"/>
      <c r="O462" s="43"/>
      <c r="P462" s="43"/>
    </row>
    <row r="463">
      <c r="N463" s="43"/>
      <c r="O463" s="43"/>
      <c r="P463" s="43"/>
    </row>
    <row r="464">
      <c r="N464" s="43"/>
      <c r="O464" s="43"/>
      <c r="P464" s="43"/>
    </row>
    <row r="465">
      <c r="N465" s="43"/>
      <c r="O465" s="43"/>
      <c r="P465" s="43"/>
    </row>
    <row r="466">
      <c r="N466" s="43"/>
      <c r="O466" s="43"/>
      <c r="P466" s="43"/>
    </row>
    <row r="467">
      <c r="N467" s="43"/>
      <c r="O467" s="43"/>
      <c r="P467" s="43"/>
    </row>
    <row r="468">
      <c r="N468" s="43"/>
      <c r="O468" s="43"/>
      <c r="P468" s="43"/>
    </row>
    <row r="469">
      <c r="N469" s="43"/>
      <c r="O469" s="43"/>
      <c r="P469" s="43"/>
    </row>
    <row r="470">
      <c r="N470" s="43"/>
      <c r="O470" s="43"/>
      <c r="P470" s="43"/>
    </row>
    <row r="471">
      <c r="N471" s="43"/>
      <c r="O471" s="43"/>
      <c r="P471" s="43"/>
    </row>
    <row r="472">
      <c r="N472" s="43"/>
      <c r="O472" s="43"/>
      <c r="P472" s="43"/>
    </row>
    <row r="473">
      <c r="N473" s="43"/>
      <c r="O473" s="43"/>
      <c r="P473" s="43"/>
    </row>
    <row r="474">
      <c r="N474" s="43"/>
      <c r="O474" s="43"/>
      <c r="P474" s="43"/>
    </row>
    <row r="475">
      <c r="N475" s="43"/>
      <c r="O475" s="43"/>
      <c r="P475" s="43"/>
    </row>
    <row r="476">
      <c r="N476" s="43"/>
      <c r="O476" s="43"/>
      <c r="P476" s="43"/>
    </row>
    <row r="477">
      <c r="N477" s="43"/>
      <c r="O477" s="43"/>
      <c r="P477" s="43"/>
    </row>
    <row r="478">
      <c r="N478" s="43"/>
      <c r="O478" s="43"/>
      <c r="P478" s="43"/>
    </row>
    <row r="479">
      <c r="N479" s="43"/>
      <c r="O479" s="43"/>
      <c r="P479" s="43"/>
    </row>
    <row r="480">
      <c r="N480" s="43"/>
      <c r="O480" s="43"/>
      <c r="P480" s="43"/>
    </row>
    <row r="481">
      <c r="N481" s="43"/>
      <c r="O481" s="43"/>
      <c r="P481" s="43"/>
    </row>
    <row r="482">
      <c r="N482" s="43"/>
      <c r="O482" s="43"/>
      <c r="P482" s="43"/>
    </row>
    <row r="483">
      <c r="N483" s="43"/>
      <c r="O483" s="43"/>
      <c r="P483" s="43"/>
    </row>
    <row r="484">
      <c r="N484" s="43"/>
      <c r="O484" s="43"/>
      <c r="P484" s="43"/>
    </row>
    <row r="485">
      <c r="N485" s="43"/>
      <c r="O485" s="43"/>
      <c r="P485" s="43"/>
    </row>
    <row r="486">
      <c r="N486" s="43"/>
      <c r="O486" s="43"/>
      <c r="P486" s="43"/>
    </row>
    <row r="487">
      <c r="N487" s="43"/>
      <c r="O487" s="43"/>
      <c r="P487" s="43"/>
    </row>
    <row r="488">
      <c r="N488" s="43"/>
      <c r="O488" s="43"/>
      <c r="P488" s="43"/>
    </row>
    <row r="489">
      <c r="N489" s="43"/>
      <c r="O489" s="43"/>
      <c r="P489" s="43"/>
    </row>
    <row r="490">
      <c r="N490" s="43"/>
      <c r="O490" s="43"/>
      <c r="P490" s="43"/>
    </row>
    <row r="491">
      <c r="N491" s="43"/>
      <c r="O491" s="43"/>
      <c r="P491" s="43"/>
    </row>
    <row r="492">
      <c r="N492" s="43"/>
      <c r="O492" s="43"/>
      <c r="P492" s="43"/>
    </row>
    <row r="493">
      <c r="N493" s="43"/>
      <c r="O493" s="43"/>
      <c r="P493" s="43"/>
    </row>
    <row r="494">
      <c r="N494" s="43"/>
      <c r="O494" s="43"/>
      <c r="P494" s="43"/>
    </row>
    <row r="495">
      <c r="N495" s="43"/>
      <c r="O495" s="43"/>
      <c r="P495" s="43"/>
    </row>
    <row r="496">
      <c r="N496" s="43"/>
      <c r="O496" s="43"/>
      <c r="P496" s="43"/>
    </row>
    <row r="497">
      <c r="N497" s="43"/>
      <c r="O497" s="43"/>
      <c r="P497" s="43"/>
    </row>
    <row r="498">
      <c r="N498" s="43"/>
      <c r="O498" s="43"/>
      <c r="P498" s="43"/>
    </row>
    <row r="499">
      <c r="N499" s="43"/>
      <c r="O499" s="43"/>
      <c r="P499" s="43"/>
    </row>
    <row r="500">
      <c r="N500" s="43"/>
      <c r="O500" s="43"/>
      <c r="P500" s="43"/>
    </row>
    <row r="501">
      <c r="N501" s="43"/>
      <c r="O501" s="43"/>
      <c r="P501" s="43"/>
    </row>
    <row r="502">
      <c r="N502" s="43"/>
      <c r="O502" s="43"/>
      <c r="P502" s="43"/>
    </row>
    <row r="503">
      <c r="N503" s="43"/>
      <c r="O503" s="43"/>
      <c r="P503" s="43"/>
    </row>
    <row r="504">
      <c r="N504" s="43"/>
      <c r="O504" s="43"/>
      <c r="P504" s="43"/>
    </row>
    <row r="505">
      <c r="N505" s="43"/>
      <c r="O505" s="43"/>
      <c r="P505" s="43"/>
    </row>
    <row r="506">
      <c r="N506" s="43"/>
      <c r="O506" s="43"/>
      <c r="P506" s="43"/>
    </row>
    <row r="507">
      <c r="N507" s="43"/>
      <c r="O507" s="43"/>
      <c r="P507" s="43"/>
    </row>
    <row r="508">
      <c r="N508" s="43"/>
      <c r="O508" s="43"/>
      <c r="P508" s="43"/>
    </row>
    <row r="509">
      <c r="N509" s="43"/>
      <c r="O509" s="43"/>
      <c r="P509" s="43"/>
    </row>
    <row r="510">
      <c r="N510" s="43"/>
      <c r="O510" s="43"/>
      <c r="P510" s="43"/>
    </row>
    <row r="511">
      <c r="N511" s="43"/>
      <c r="O511" s="43"/>
      <c r="P511" s="43"/>
    </row>
    <row r="512">
      <c r="N512" s="43"/>
      <c r="O512" s="43"/>
      <c r="P512" s="43"/>
    </row>
    <row r="513">
      <c r="N513" s="43"/>
      <c r="O513" s="43"/>
      <c r="P513" s="43"/>
    </row>
    <row r="514">
      <c r="N514" s="43"/>
      <c r="O514" s="43"/>
      <c r="P514" s="43"/>
    </row>
    <row r="515">
      <c r="N515" s="43"/>
      <c r="O515" s="43"/>
      <c r="P515" s="43"/>
    </row>
    <row r="516">
      <c r="N516" s="43"/>
      <c r="O516" s="43"/>
      <c r="P516" s="43"/>
    </row>
    <row r="517">
      <c r="N517" s="43"/>
      <c r="O517" s="43"/>
      <c r="P517" s="43"/>
    </row>
    <row r="518">
      <c r="N518" s="43"/>
      <c r="O518" s="43"/>
      <c r="P518" s="43"/>
    </row>
    <row r="519">
      <c r="N519" s="43"/>
      <c r="O519" s="43"/>
      <c r="P519" s="43"/>
    </row>
    <row r="520">
      <c r="N520" s="43"/>
      <c r="O520" s="43"/>
      <c r="P520" s="43"/>
    </row>
    <row r="521">
      <c r="N521" s="43"/>
      <c r="O521" s="43"/>
      <c r="P521" s="43"/>
    </row>
    <row r="522">
      <c r="N522" s="43"/>
      <c r="O522" s="43"/>
      <c r="P522" s="43"/>
    </row>
    <row r="523">
      <c r="N523" s="43"/>
      <c r="O523" s="43"/>
      <c r="P523" s="43"/>
    </row>
    <row r="524">
      <c r="N524" s="43"/>
      <c r="O524" s="43"/>
      <c r="P524" s="43"/>
    </row>
    <row r="525">
      <c r="N525" s="43"/>
      <c r="O525" s="43"/>
      <c r="P525" s="43"/>
    </row>
    <row r="526">
      <c r="N526" s="43"/>
      <c r="O526" s="43"/>
      <c r="P526" s="43"/>
    </row>
    <row r="527">
      <c r="N527" s="43"/>
      <c r="O527" s="43"/>
      <c r="P527" s="43"/>
    </row>
    <row r="528">
      <c r="N528" s="43"/>
      <c r="O528" s="43"/>
      <c r="P528" s="43"/>
    </row>
    <row r="529">
      <c r="N529" s="43"/>
      <c r="O529" s="43"/>
      <c r="P529" s="43"/>
    </row>
    <row r="530">
      <c r="N530" s="43"/>
      <c r="O530" s="43"/>
      <c r="P530" s="43"/>
    </row>
    <row r="531">
      <c r="N531" s="43"/>
      <c r="O531" s="43"/>
      <c r="P531" s="43"/>
    </row>
    <row r="532">
      <c r="N532" s="43"/>
      <c r="O532" s="43"/>
      <c r="P532" s="43"/>
    </row>
    <row r="533">
      <c r="N533" s="43"/>
      <c r="O533" s="43"/>
      <c r="P533" s="43"/>
    </row>
    <row r="534">
      <c r="N534" s="43"/>
      <c r="O534" s="43"/>
      <c r="P534" s="43"/>
    </row>
    <row r="535">
      <c r="N535" s="43"/>
      <c r="O535" s="43"/>
      <c r="P535" s="43"/>
    </row>
    <row r="536">
      <c r="N536" s="43"/>
      <c r="O536" s="43"/>
      <c r="P536" s="43"/>
    </row>
    <row r="537">
      <c r="N537" s="43"/>
      <c r="O537" s="43"/>
      <c r="P537" s="43"/>
    </row>
    <row r="538">
      <c r="N538" s="43"/>
      <c r="O538" s="43"/>
      <c r="P538" s="43"/>
    </row>
    <row r="539">
      <c r="N539" s="43"/>
      <c r="O539" s="43"/>
      <c r="P539" s="43"/>
    </row>
    <row r="540">
      <c r="N540" s="43"/>
      <c r="O540" s="43"/>
      <c r="P540" s="43"/>
    </row>
    <row r="541">
      <c r="N541" s="43"/>
      <c r="O541" s="43"/>
      <c r="P541" s="43"/>
    </row>
    <row r="542">
      <c r="N542" s="43"/>
      <c r="O542" s="43"/>
      <c r="P542" s="43"/>
    </row>
    <row r="543">
      <c r="N543" s="43"/>
      <c r="O543" s="43"/>
      <c r="P543" s="43"/>
    </row>
    <row r="544">
      <c r="N544" s="43"/>
      <c r="O544" s="43"/>
      <c r="P544" s="43"/>
    </row>
    <row r="545">
      <c r="N545" s="43"/>
      <c r="O545" s="43"/>
      <c r="P545" s="43"/>
    </row>
    <row r="546">
      <c r="N546" s="43"/>
      <c r="O546" s="43"/>
      <c r="P546" s="43"/>
    </row>
    <row r="547">
      <c r="N547" s="43"/>
      <c r="O547" s="43"/>
      <c r="P547" s="43"/>
    </row>
    <row r="548">
      <c r="N548" s="43"/>
      <c r="O548" s="43"/>
      <c r="P548" s="43"/>
    </row>
    <row r="549">
      <c r="N549" s="43"/>
      <c r="O549" s="43"/>
      <c r="P549" s="43"/>
    </row>
    <row r="550">
      <c r="N550" s="43"/>
      <c r="O550" s="43"/>
      <c r="P550" s="43"/>
    </row>
    <row r="551">
      <c r="N551" s="43"/>
      <c r="O551" s="43"/>
      <c r="P551" s="43"/>
    </row>
    <row r="552">
      <c r="N552" s="43"/>
      <c r="O552" s="43"/>
      <c r="P552" s="43"/>
    </row>
    <row r="553">
      <c r="N553" s="43"/>
      <c r="O553" s="43"/>
      <c r="P553" s="43"/>
    </row>
    <row r="554">
      <c r="N554" s="43"/>
      <c r="O554" s="43"/>
      <c r="P554" s="43"/>
    </row>
    <row r="555">
      <c r="N555" s="43"/>
      <c r="O555" s="43"/>
      <c r="P555" s="43"/>
    </row>
    <row r="556">
      <c r="N556" s="43"/>
      <c r="O556" s="43"/>
      <c r="P556" s="43"/>
    </row>
    <row r="557">
      <c r="N557" s="43"/>
      <c r="O557" s="43"/>
      <c r="P557" s="43"/>
    </row>
    <row r="558">
      <c r="N558" s="43"/>
      <c r="O558" s="43"/>
      <c r="P558" s="43"/>
    </row>
    <row r="559">
      <c r="N559" s="43"/>
      <c r="O559" s="43"/>
      <c r="P559" s="43"/>
    </row>
    <row r="560">
      <c r="N560" s="43"/>
      <c r="O560" s="43"/>
      <c r="P560" s="43"/>
    </row>
    <row r="561">
      <c r="N561" s="43"/>
      <c r="O561" s="43"/>
      <c r="P561" s="43"/>
    </row>
    <row r="562">
      <c r="N562" s="43"/>
      <c r="O562" s="43"/>
      <c r="P562" s="43"/>
    </row>
    <row r="563">
      <c r="N563" s="43"/>
      <c r="O563" s="43"/>
      <c r="P563" s="43"/>
    </row>
    <row r="564">
      <c r="N564" s="43"/>
      <c r="O564" s="43"/>
      <c r="P564" s="43"/>
    </row>
    <row r="565">
      <c r="N565" s="43"/>
      <c r="O565" s="43"/>
      <c r="P565" s="43"/>
    </row>
    <row r="566">
      <c r="N566" s="43"/>
      <c r="O566" s="43"/>
      <c r="P566" s="43"/>
    </row>
    <row r="567">
      <c r="N567" s="43"/>
      <c r="O567" s="43"/>
      <c r="P567" s="43"/>
    </row>
    <row r="568">
      <c r="N568" s="43"/>
      <c r="O568" s="43"/>
      <c r="P568" s="43"/>
    </row>
    <row r="569">
      <c r="N569" s="43"/>
      <c r="O569" s="43"/>
      <c r="P569" s="43"/>
    </row>
    <row r="570">
      <c r="N570" s="43"/>
      <c r="O570" s="43"/>
      <c r="P570" s="43"/>
    </row>
    <row r="571">
      <c r="N571" s="43"/>
      <c r="O571" s="43"/>
      <c r="P571" s="43"/>
    </row>
    <row r="572">
      <c r="N572" s="43"/>
      <c r="O572" s="43"/>
      <c r="P572" s="43"/>
    </row>
    <row r="573">
      <c r="N573" s="43"/>
      <c r="O573" s="43"/>
      <c r="P573" s="43"/>
    </row>
    <row r="574">
      <c r="N574" s="43"/>
      <c r="O574" s="43"/>
      <c r="P574" s="43"/>
    </row>
    <row r="575">
      <c r="N575" s="43"/>
      <c r="O575" s="43"/>
      <c r="P575" s="43"/>
    </row>
    <row r="576">
      <c r="N576" s="43"/>
      <c r="O576" s="43"/>
      <c r="P576" s="43"/>
    </row>
    <row r="577">
      <c r="N577" s="43"/>
      <c r="O577" s="43"/>
      <c r="P577" s="43"/>
    </row>
    <row r="578">
      <c r="N578" s="43"/>
      <c r="O578" s="43"/>
      <c r="P578" s="43"/>
    </row>
    <row r="579">
      <c r="N579" s="43"/>
      <c r="O579" s="43"/>
      <c r="P579" s="43"/>
    </row>
    <row r="580">
      <c r="N580" s="43"/>
      <c r="O580" s="43"/>
      <c r="P580" s="43"/>
    </row>
    <row r="581">
      <c r="N581" s="43"/>
      <c r="O581" s="43"/>
      <c r="P581" s="43"/>
    </row>
    <row r="582">
      <c r="N582" s="43"/>
      <c r="O582" s="43"/>
      <c r="P582" s="43"/>
    </row>
    <row r="583">
      <c r="N583" s="43"/>
      <c r="O583" s="43"/>
      <c r="P583" s="43"/>
    </row>
    <row r="584">
      <c r="N584" s="43"/>
      <c r="O584" s="43"/>
      <c r="P584" s="43"/>
    </row>
    <row r="585">
      <c r="N585" s="43"/>
      <c r="O585" s="43"/>
      <c r="P585" s="43"/>
    </row>
    <row r="586">
      <c r="N586" s="43"/>
      <c r="O586" s="43"/>
      <c r="P586" s="43"/>
    </row>
    <row r="587">
      <c r="N587" s="43"/>
      <c r="O587" s="43"/>
      <c r="P587" s="43"/>
    </row>
    <row r="588">
      <c r="N588" s="43"/>
      <c r="O588" s="43"/>
      <c r="P588" s="43"/>
    </row>
    <row r="589">
      <c r="N589" s="43"/>
      <c r="O589" s="43"/>
      <c r="P589" s="43"/>
    </row>
    <row r="590">
      <c r="N590" s="43"/>
      <c r="O590" s="43"/>
      <c r="P590" s="43"/>
    </row>
    <row r="591">
      <c r="N591" s="43"/>
      <c r="O591" s="43"/>
      <c r="P591" s="43"/>
    </row>
    <row r="592">
      <c r="N592" s="43"/>
      <c r="O592" s="43"/>
      <c r="P592" s="43"/>
    </row>
    <row r="593">
      <c r="N593" s="43"/>
      <c r="O593" s="43"/>
      <c r="P593" s="43"/>
    </row>
    <row r="594">
      <c r="N594" s="43"/>
      <c r="O594" s="43"/>
      <c r="P594" s="43"/>
    </row>
    <row r="595">
      <c r="N595" s="43"/>
      <c r="O595" s="43"/>
      <c r="P595" s="43"/>
    </row>
    <row r="596">
      <c r="N596" s="43"/>
      <c r="O596" s="43"/>
      <c r="P596" s="43"/>
    </row>
    <row r="597">
      <c r="N597" s="43"/>
      <c r="O597" s="43"/>
      <c r="P597" s="43"/>
    </row>
    <row r="598">
      <c r="N598" s="43"/>
      <c r="O598" s="43"/>
      <c r="P598" s="43"/>
    </row>
    <row r="599">
      <c r="N599" s="43"/>
      <c r="O599" s="43"/>
      <c r="P599" s="43"/>
    </row>
    <row r="600">
      <c r="N600" s="43"/>
      <c r="O600" s="43"/>
      <c r="P600" s="43"/>
    </row>
    <row r="601">
      <c r="N601" s="43"/>
      <c r="O601" s="43"/>
      <c r="P601" s="43"/>
    </row>
    <row r="602">
      <c r="N602" s="43"/>
      <c r="O602" s="43"/>
      <c r="P602" s="43"/>
    </row>
    <row r="603">
      <c r="N603" s="43"/>
      <c r="O603" s="43"/>
      <c r="P603" s="43"/>
    </row>
    <row r="604">
      <c r="N604" s="43"/>
      <c r="O604" s="43"/>
      <c r="P604" s="43"/>
    </row>
    <row r="605">
      <c r="N605" s="43"/>
      <c r="O605" s="43"/>
      <c r="P605" s="43"/>
    </row>
    <row r="606">
      <c r="N606" s="43"/>
      <c r="O606" s="43"/>
      <c r="P606" s="43"/>
    </row>
    <row r="607">
      <c r="N607" s="43"/>
      <c r="O607" s="43"/>
      <c r="P607" s="43"/>
    </row>
    <row r="608">
      <c r="N608" s="43"/>
      <c r="O608" s="43"/>
      <c r="P608" s="43"/>
    </row>
    <row r="609">
      <c r="N609" s="43"/>
      <c r="O609" s="43"/>
      <c r="P609" s="43"/>
    </row>
    <row r="610">
      <c r="N610" s="43"/>
      <c r="O610" s="43"/>
      <c r="P610" s="43"/>
    </row>
    <row r="611">
      <c r="N611" s="43"/>
      <c r="O611" s="43"/>
      <c r="P611" s="43"/>
    </row>
    <row r="612">
      <c r="N612" s="43"/>
      <c r="O612" s="43"/>
      <c r="P612" s="43"/>
    </row>
    <row r="613">
      <c r="N613" s="43"/>
      <c r="O613" s="43"/>
      <c r="P613" s="43"/>
    </row>
    <row r="614">
      <c r="N614" s="43"/>
      <c r="O614" s="43"/>
      <c r="P614" s="43"/>
    </row>
    <row r="615">
      <c r="N615" s="43"/>
      <c r="O615" s="43"/>
      <c r="P615" s="43"/>
    </row>
    <row r="616">
      <c r="N616" s="43"/>
      <c r="O616" s="43"/>
      <c r="P616" s="43"/>
    </row>
    <row r="617">
      <c r="N617" s="43"/>
      <c r="O617" s="43"/>
      <c r="P617" s="43"/>
    </row>
    <row r="618">
      <c r="N618" s="43"/>
      <c r="O618" s="43"/>
      <c r="P618" s="43"/>
    </row>
    <row r="619">
      <c r="N619" s="43"/>
      <c r="O619" s="43"/>
      <c r="P619" s="43"/>
    </row>
    <row r="620">
      <c r="N620" s="43"/>
      <c r="O620" s="43"/>
      <c r="P620" s="43"/>
    </row>
    <row r="621">
      <c r="N621" s="43"/>
      <c r="O621" s="43"/>
      <c r="P621" s="43"/>
    </row>
    <row r="622">
      <c r="N622" s="43"/>
      <c r="O622" s="43"/>
      <c r="P622" s="43"/>
    </row>
    <row r="623">
      <c r="N623" s="43"/>
      <c r="O623" s="43"/>
      <c r="P623" s="43"/>
    </row>
    <row r="624">
      <c r="N624" s="43"/>
      <c r="O624" s="43"/>
      <c r="P624" s="43"/>
    </row>
    <row r="625">
      <c r="N625" s="43"/>
      <c r="O625" s="43"/>
      <c r="P625" s="43"/>
    </row>
    <row r="626">
      <c r="N626" s="43"/>
      <c r="O626" s="43"/>
      <c r="P626" s="43"/>
    </row>
    <row r="627">
      <c r="N627" s="43"/>
      <c r="O627" s="43"/>
      <c r="P627" s="43"/>
    </row>
    <row r="628">
      <c r="N628" s="43"/>
      <c r="O628" s="43"/>
      <c r="P628" s="43"/>
    </row>
    <row r="629">
      <c r="N629" s="43"/>
      <c r="O629" s="43"/>
      <c r="P629" s="43"/>
    </row>
    <row r="630">
      <c r="N630" s="43"/>
      <c r="O630" s="43"/>
      <c r="P630" s="43"/>
    </row>
    <row r="631">
      <c r="N631" s="43"/>
      <c r="O631" s="43"/>
      <c r="P631" s="43"/>
    </row>
    <row r="632">
      <c r="N632" s="43"/>
      <c r="O632" s="43"/>
      <c r="P632" s="43"/>
    </row>
    <row r="633">
      <c r="N633" s="43"/>
      <c r="O633" s="43"/>
      <c r="P633" s="43"/>
    </row>
    <row r="634">
      <c r="N634" s="43"/>
      <c r="O634" s="43"/>
      <c r="P634" s="43"/>
    </row>
    <row r="635">
      <c r="N635" s="43"/>
      <c r="O635" s="43"/>
      <c r="P635" s="43"/>
    </row>
    <row r="636">
      <c r="N636" s="43"/>
      <c r="O636" s="43"/>
      <c r="P636" s="43"/>
    </row>
    <row r="637">
      <c r="N637" s="43"/>
      <c r="O637" s="43"/>
      <c r="P637" s="43"/>
    </row>
    <row r="638">
      <c r="N638" s="43"/>
      <c r="O638" s="43"/>
      <c r="P638" s="43"/>
    </row>
    <row r="639">
      <c r="N639" s="43"/>
      <c r="O639" s="43"/>
      <c r="P639" s="43"/>
    </row>
    <row r="640">
      <c r="N640" s="43"/>
      <c r="O640" s="43"/>
      <c r="P640" s="43"/>
    </row>
    <row r="641">
      <c r="N641" s="43"/>
      <c r="O641" s="43"/>
      <c r="P641" s="43"/>
    </row>
    <row r="642">
      <c r="N642" s="43"/>
      <c r="O642" s="43"/>
      <c r="P642" s="43"/>
    </row>
    <row r="643">
      <c r="N643" s="43"/>
      <c r="O643" s="43"/>
      <c r="P643" s="43"/>
    </row>
    <row r="644">
      <c r="N644" s="43"/>
      <c r="O644" s="43"/>
      <c r="P644" s="43"/>
    </row>
    <row r="645">
      <c r="N645" s="43"/>
      <c r="O645" s="43"/>
      <c r="P645" s="43"/>
    </row>
    <row r="646">
      <c r="N646" s="43"/>
      <c r="O646" s="43"/>
      <c r="P646" s="43"/>
    </row>
    <row r="647">
      <c r="N647" s="43"/>
      <c r="O647" s="43"/>
      <c r="P647" s="43"/>
    </row>
    <row r="648">
      <c r="N648" s="43"/>
      <c r="O648" s="43"/>
      <c r="P648" s="43"/>
    </row>
    <row r="649">
      <c r="N649" s="43"/>
      <c r="O649" s="43"/>
      <c r="P649" s="43"/>
    </row>
    <row r="650">
      <c r="N650" s="43"/>
      <c r="O650" s="43"/>
      <c r="P650" s="43"/>
    </row>
    <row r="651">
      <c r="N651" s="43"/>
      <c r="O651" s="43"/>
      <c r="P651" s="43"/>
    </row>
    <row r="652">
      <c r="N652" s="43"/>
      <c r="O652" s="43"/>
      <c r="P652" s="43"/>
    </row>
    <row r="653">
      <c r="N653" s="43"/>
      <c r="O653" s="43"/>
      <c r="P653" s="43"/>
    </row>
    <row r="654">
      <c r="N654" s="43"/>
      <c r="O654" s="43"/>
      <c r="P654" s="43"/>
    </row>
    <row r="655">
      <c r="N655" s="43"/>
      <c r="O655" s="43"/>
      <c r="P655" s="43"/>
    </row>
    <row r="656">
      <c r="N656" s="43"/>
      <c r="O656" s="43"/>
      <c r="P656" s="43"/>
    </row>
    <row r="657">
      <c r="N657" s="43"/>
      <c r="O657" s="43"/>
      <c r="P657" s="43"/>
    </row>
    <row r="658">
      <c r="N658" s="43"/>
      <c r="O658" s="43"/>
      <c r="P658" s="43"/>
    </row>
    <row r="659">
      <c r="N659" s="43"/>
      <c r="O659" s="43"/>
      <c r="P659" s="43"/>
    </row>
    <row r="660">
      <c r="N660" s="43"/>
      <c r="O660" s="43"/>
      <c r="P660" s="43"/>
    </row>
    <row r="661">
      <c r="N661" s="43"/>
      <c r="O661" s="43"/>
      <c r="P661" s="43"/>
    </row>
    <row r="662">
      <c r="N662" s="43"/>
      <c r="O662" s="43"/>
      <c r="P662" s="43"/>
    </row>
    <row r="663">
      <c r="N663" s="43"/>
      <c r="O663" s="43"/>
      <c r="P663" s="43"/>
    </row>
    <row r="664">
      <c r="N664" s="43"/>
      <c r="O664" s="43"/>
      <c r="P664" s="43"/>
    </row>
    <row r="665">
      <c r="N665" s="43"/>
      <c r="O665" s="43"/>
      <c r="P665" s="43"/>
    </row>
    <row r="666">
      <c r="N666" s="43"/>
      <c r="O666" s="43"/>
      <c r="P666" s="43"/>
    </row>
    <row r="667">
      <c r="N667" s="43"/>
      <c r="O667" s="43"/>
      <c r="P667" s="43"/>
    </row>
    <row r="668">
      <c r="N668" s="43"/>
      <c r="O668" s="43"/>
      <c r="P668" s="43"/>
    </row>
    <row r="669">
      <c r="N669" s="43"/>
      <c r="O669" s="43"/>
      <c r="P669" s="43"/>
    </row>
    <row r="670">
      <c r="N670" s="43"/>
      <c r="O670" s="43"/>
      <c r="P670" s="43"/>
    </row>
    <row r="671">
      <c r="N671" s="43"/>
      <c r="O671" s="43"/>
      <c r="P671" s="43"/>
    </row>
    <row r="672">
      <c r="N672" s="43"/>
      <c r="O672" s="43"/>
      <c r="P672" s="43"/>
    </row>
    <row r="673">
      <c r="N673" s="43"/>
      <c r="O673" s="43"/>
      <c r="P673" s="43"/>
    </row>
    <row r="674">
      <c r="N674" s="43"/>
      <c r="O674" s="43"/>
      <c r="P674" s="43"/>
    </row>
    <row r="675">
      <c r="N675" s="43"/>
      <c r="O675" s="43"/>
      <c r="P675" s="43"/>
    </row>
    <row r="676">
      <c r="N676" s="43"/>
      <c r="O676" s="43"/>
      <c r="P676" s="43"/>
    </row>
    <row r="677">
      <c r="N677" s="43"/>
      <c r="O677" s="43"/>
      <c r="P677" s="43"/>
    </row>
    <row r="678">
      <c r="N678" s="43"/>
      <c r="O678" s="43"/>
      <c r="P678" s="43"/>
    </row>
    <row r="679">
      <c r="N679" s="43"/>
      <c r="O679" s="43"/>
      <c r="P679" s="43"/>
    </row>
    <row r="680">
      <c r="N680" s="43"/>
      <c r="O680" s="43"/>
      <c r="P680" s="43"/>
    </row>
    <row r="681">
      <c r="N681" s="43"/>
      <c r="O681" s="43"/>
      <c r="P681" s="43"/>
    </row>
    <row r="682">
      <c r="N682" s="43"/>
      <c r="O682" s="43"/>
      <c r="P682" s="43"/>
    </row>
    <row r="683">
      <c r="N683" s="43"/>
      <c r="O683" s="43"/>
      <c r="P683" s="43"/>
    </row>
    <row r="684">
      <c r="N684" s="43"/>
      <c r="O684" s="43"/>
      <c r="P684" s="43"/>
    </row>
    <row r="685">
      <c r="N685" s="43"/>
      <c r="O685" s="43"/>
      <c r="P685" s="43"/>
    </row>
    <row r="686">
      <c r="N686" s="43"/>
      <c r="O686" s="43"/>
      <c r="P686" s="43"/>
    </row>
    <row r="687">
      <c r="N687" s="43"/>
      <c r="O687" s="43"/>
      <c r="P687" s="43"/>
    </row>
    <row r="688">
      <c r="N688" s="43"/>
      <c r="O688" s="43"/>
      <c r="P688" s="43"/>
    </row>
    <row r="689">
      <c r="N689" s="43"/>
      <c r="O689" s="43"/>
      <c r="P689" s="43"/>
    </row>
    <row r="690">
      <c r="N690" s="43"/>
      <c r="O690" s="43"/>
      <c r="P690" s="43"/>
    </row>
    <row r="691">
      <c r="N691" s="43"/>
      <c r="O691" s="43"/>
      <c r="P691" s="43"/>
    </row>
    <row r="692">
      <c r="N692" s="43"/>
      <c r="O692" s="43"/>
      <c r="P692" s="43"/>
    </row>
    <row r="693">
      <c r="N693" s="43"/>
      <c r="O693" s="43"/>
      <c r="P693" s="43"/>
    </row>
    <row r="694">
      <c r="N694" s="43"/>
      <c r="O694" s="43"/>
      <c r="P694" s="43"/>
    </row>
    <row r="695">
      <c r="N695" s="43"/>
      <c r="O695" s="43"/>
      <c r="P695" s="43"/>
    </row>
    <row r="696">
      <c r="N696" s="43"/>
      <c r="O696" s="43"/>
      <c r="P696" s="43"/>
    </row>
    <row r="697">
      <c r="N697" s="43"/>
      <c r="O697" s="43"/>
      <c r="P697" s="43"/>
    </row>
    <row r="698">
      <c r="N698" s="43"/>
      <c r="O698" s="43"/>
      <c r="P698" s="43"/>
    </row>
    <row r="699">
      <c r="N699" s="43"/>
      <c r="O699" s="43"/>
      <c r="P699" s="43"/>
    </row>
    <row r="700">
      <c r="N700" s="43"/>
      <c r="O700" s="43"/>
      <c r="P700" s="43"/>
    </row>
    <row r="701">
      <c r="N701" s="43"/>
      <c r="O701" s="43"/>
      <c r="P701" s="43"/>
    </row>
    <row r="702">
      <c r="N702" s="43"/>
      <c r="O702" s="43"/>
      <c r="P702" s="43"/>
    </row>
    <row r="703">
      <c r="N703" s="43"/>
      <c r="O703" s="43"/>
      <c r="P703" s="43"/>
    </row>
    <row r="704">
      <c r="N704" s="43"/>
      <c r="O704" s="43"/>
      <c r="P704" s="43"/>
    </row>
    <row r="705">
      <c r="N705" s="43"/>
      <c r="O705" s="43"/>
      <c r="P705" s="43"/>
    </row>
    <row r="706">
      <c r="N706" s="43"/>
      <c r="O706" s="43"/>
      <c r="P706" s="43"/>
    </row>
    <row r="707">
      <c r="N707" s="43"/>
      <c r="O707" s="43"/>
      <c r="P707" s="43"/>
    </row>
    <row r="708">
      <c r="N708" s="43"/>
      <c r="O708" s="43"/>
      <c r="P708" s="43"/>
    </row>
    <row r="709">
      <c r="N709" s="43"/>
      <c r="O709" s="43"/>
      <c r="P709" s="43"/>
    </row>
    <row r="710">
      <c r="N710" s="43"/>
      <c r="O710" s="43"/>
      <c r="P710" s="43"/>
    </row>
    <row r="711">
      <c r="N711" s="43"/>
      <c r="O711" s="43"/>
      <c r="P711" s="43"/>
    </row>
    <row r="712">
      <c r="N712" s="43"/>
      <c r="O712" s="43"/>
      <c r="P712" s="43"/>
    </row>
    <row r="713">
      <c r="N713" s="43"/>
      <c r="O713" s="43"/>
      <c r="P713" s="43"/>
    </row>
    <row r="714">
      <c r="N714" s="43"/>
      <c r="O714" s="43"/>
      <c r="P714" s="43"/>
    </row>
    <row r="715">
      <c r="N715" s="43"/>
      <c r="O715" s="43"/>
      <c r="P715" s="43"/>
    </row>
    <row r="716">
      <c r="N716" s="43"/>
      <c r="O716" s="43"/>
      <c r="P716" s="43"/>
    </row>
    <row r="717">
      <c r="N717" s="43"/>
      <c r="O717" s="43"/>
      <c r="P717" s="43"/>
    </row>
    <row r="718">
      <c r="N718" s="43"/>
      <c r="O718" s="43"/>
      <c r="P718" s="43"/>
    </row>
    <row r="719">
      <c r="N719" s="43"/>
      <c r="O719" s="43"/>
      <c r="P719" s="43"/>
    </row>
    <row r="720">
      <c r="N720" s="43"/>
      <c r="O720" s="43"/>
      <c r="P720" s="43"/>
    </row>
    <row r="721">
      <c r="N721" s="43"/>
      <c r="O721" s="43"/>
      <c r="P721" s="43"/>
    </row>
    <row r="722">
      <c r="N722" s="43"/>
      <c r="O722" s="43"/>
      <c r="P722" s="43"/>
    </row>
    <row r="723">
      <c r="N723" s="43"/>
      <c r="O723" s="43"/>
      <c r="P723" s="43"/>
    </row>
    <row r="724">
      <c r="N724" s="43"/>
      <c r="O724" s="43"/>
      <c r="P724" s="43"/>
    </row>
    <row r="725">
      <c r="N725" s="43"/>
      <c r="O725" s="43"/>
      <c r="P725" s="43"/>
    </row>
    <row r="726">
      <c r="N726" s="43"/>
      <c r="O726" s="43"/>
      <c r="P726" s="43"/>
    </row>
    <row r="727">
      <c r="N727" s="43"/>
      <c r="O727" s="43"/>
      <c r="P727" s="43"/>
    </row>
    <row r="728">
      <c r="N728" s="43"/>
      <c r="O728" s="43"/>
      <c r="P728" s="43"/>
    </row>
    <row r="729">
      <c r="N729" s="43"/>
      <c r="O729" s="43"/>
      <c r="P729" s="43"/>
    </row>
    <row r="730">
      <c r="N730" s="43"/>
      <c r="O730" s="43"/>
      <c r="P730" s="43"/>
    </row>
    <row r="731">
      <c r="N731" s="43"/>
      <c r="O731" s="43"/>
      <c r="P731" s="43"/>
    </row>
    <row r="732">
      <c r="N732" s="43"/>
      <c r="O732" s="43"/>
      <c r="P732" s="43"/>
    </row>
    <row r="733">
      <c r="N733" s="43"/>
      <c r="O733" s="43"/>
      <c r="P733" s="43"/>
    </row>
    <row r="734">
      <c r="N734" s="43"/>
      <c r="O734" s="43"/>
      <c r="P734" s="43"/>
    </row>
    <row r="735">
      <c r="N735" s="43"/>
      <c r="O735" s="43"/>
      <c r="P735" s="43"/>
    </row>
    <row r="736">
      <c r="N736" s="43"/>
      <c r="O736" s="43"/>
      <c r="P736" s="43"/>
    </row>
    <row r="737">
      <c r="N737" s="43"/>
      <c r="O737" s="43"/>
      <c r="P737" s="43"/>
    </row>
    <row r="738">
      <c r="N738" s="43"/>
      <c r="O738" s="43"/>
      <c r="P738" s="43"/>
    </row>
    <row r="739">
      <c r="N739" s="43"/>
      <c r="O739" s="43"/>
      <c r="P739" s="43"/>
    </row>
    <row r="740">
      <c r="N740" s="43"/>
      <c r="O740" s="43"/>
      <c r="P740" s="43"/>
    </row>
    <row r="741">
      <c r="N741" s="43"/>
      <c r="O741" s="43"/>
      <c r="P741" s="43"/>
    </row>
    <row r="742">
      <c r="N742" s="43"/>
      <c r="O742" s="43"/>
      <c r="P742" s="43"/>
    </row>
    <row r="743">
      <c r="N743" s="43"/>
      <c r="O743" s="43"/>
      <c r="P743" s="43"/>
    </row>
    <row r="744">
      <c r="N744" s="43"/>
      <c r="O744" s="43"/>
      <c r="P744" s="43"/>
    </row>
    <row r="745">
      <c r="N745" s="43"/>
      <c r="O745" s="43"/>
      <c r="P745" s="43"/>
    </row>
    <row r="746">
      <c r="N746" s="43"/>
      <c r="O746" s="43"/>
      <c r="P746" s="43"/>
    </row>
    <row r="747">
      <c r="N747" s="43"/>
      <c r="O747" s="43"/>
      <c r="P747" s="43"/>
    </row>
    <row r="748">
      <c r="N748" s="43"/>
      <c r="O748" s="43"/>
      <c r="P748" s="43"/>
    </row>
    <row r="749">
      <c r="N749" s="43"/>
      <c r="O749" s="43"/>
      <c r="P749" s="43"/>
    </row>
    <row r="750">
      <c r="N750" s="43"/>
      <c r="O750" s="43"/>
      <c r="P750" s="43"/>
    </row>
    <row r="751">
      <c r="N751" s="43"/>
      <c r="O751" s="43"/>
      <c r="P751" s="43"/>
    </row>
    <row r="752">
      <c r="N752" s="43"/>
      <c r="O752" s="43"/>
      <c r="P752" s="43"/>
    </row>
    <row r="753">
      <c r="N753" s="43"/>
      <c r="O753" s="43"/>
      <c r="P753" s="43"/>
    </row>
    <row r="754">
      <c r="N754" s="43"/>
      <c r="O754" s="43"/>
      <c r="P754" s="43"/>
    </row>
    <row r="755">
      <c r="N755" s="43"/>
      <c r="O755" s="43"/>
      <c r="P755" s="43"/>
    </row>
    <row r="756">
      <c r="N756" s="43"/>
      <c r="O756" s="43"/>
      <c r="P756" s="43"/>
    </row>
    <row r="757">
      <c r="N757" s="43"/>
      <c r="O757" s="43"/>
      <c r="P757" s="43"/>
    </row>
    <row r="758">
      <c r="N758" s="43"/>
      <c r="O758" s="43"/>
      <c r="P758" s="43"/>
    </row>
    <row r="759">
      <c r="N759" s="43"/>
      <c r="O759" s="43"/>
      <c r="P759" s="43"/>
    </row>
    <row r="760">
      <c r="N760" s="43"/>
      <c r="O760" s="43"/>
      <c r="P760" s="43"/>
    </row>
    <row r="761">
      <c r="N761" s="43"/>
      <c r="O761" s="43"/>
      <c r="P761" s="43"/>
    </row>
    <row r="762">
      <c r="N762" s="43"/>
      <c r="O762" s="43"/>
      <c r="P762" s="43"/>
    </row>
    <row r="763">
      <c r="N763" s="43"/>
      <c r="O763" s="43"/>
      <c r="P763" s="43"/>
    </row>
    <row r="764">
      <c r="N764" s="43"/>
      <c r="O764" s="43"/>
      <c r="P764" s="43"/>
    </row>
    <row r="765">
      <c r="N765" s="43"/>
      <c r="O765" s="43"/>
      <c r="P765" s="43"/>
    </row>
    <row r="766">
      <c r="N766" s="43"/>
      <c r="O766" s="43"/>
      <c r="P766" s="43"/>
    </row>
    <row r="767">
      <c r="N767" s="43"/>
      <c r="O767" s="43"/>
      <c r="P767" s="43"/>
    </row>
    <row r="768">
      <c r="N768" s="43"/>
      <c r="O768" s="43"/>
      <c r="P768" s="43"/>
    </row>
    <row r="769">
      <c r="N769" s="43"/>
      <c r="O769" s="43"/>
      <c r="P769" s="43"/>
    </row>
    <row r="770">
      <c r="N770" s="43"/>
      <c r="O770" s="43"/>
      <c r="P770" s="43"/>
    </row>
    <row r="771">
      <c r="N771" s="43"/>
      <c r="O771" s="43"/>
      <c r="P771" s="43"/>
    </row>
    <row r="772">
      <c r="N772" s="43"/>
      <c r="O772" s="43"/>
      <c r="P772" s="43"/>
    </row>
    <row r="773">
      <c r="N773" s="43"/>
      <c r="O773" s="43"/>
      <c r="P773" s="43"/>
    </row>
    <row r="774">
      <c r="N774" s="43"/>
      <c r="O774" s="43"/>
      <c r="P774" s="43"/>
    </row>
    <row r="775">
      <c r="N775" s="43"/>
      <c r="O775" s="43"/>
      <c r="P775" s="43"/>
    </row>
    <row r="776">
      <c r="N776" s="43"/>
      <c r="O776" s="43"/>
      <c r="P776" s="43"/>
    </row>
    <row r="777">
      <c r="N777" s="43"/>
      <c r="O777" s="43"/>
      <c r="P777" s="43"/>
    </row>
    <row r="778">
      <c r="N778" s="43"/>
      <c r="O778" s="43"/>
      <c r="P778" s="43"/>
    </row>
    <row r="779">
      <c r="N779" s="43"/>
      <c r="O779" s="43"/>
      <c r="P779" s="43"/>
    </row>
    <row r="780">
      <c r="N780" s="43"/>
      <c r="O780" s="43"/>
      <c r="P780" s="43"/>
    </row>
    <row r="781">
      <c r="N781" s="43"/>
      <c r="O781" s="43"/>
      <c r="P781" s="43"/>
    </row>
    <row r="782">
      <c r="N782" s="43"/>
      <c r="O782" s="43"/>
      <c r="P782" s="43"/>
    </row>
    <row r="783">
      <c r="N783" s="43"/>
      <c r="O783" s="43"/>
      <c r="P783" s="43"/>
    </row>
    <row r="784">
      <c r="N784" s="43"/>
      <c r="O784" s="43"/>
      <c r="P784" s="43"/>
    </row>
    <row r="785">
      <c r="N785" s="43"/>
      <c r="O785" s="43"/>
      <c r="P785" s="43"/>
    </row>
    <row r="786">
      <c r="N786" s="43"/>
      <c r="O786" s="43"/>
      <c r="P786" s="43"/>
    </row>
    <row r="787">
      <c r="N787" s="43"/>
      <c r="O787" s="43"/>
      <c r="P787" s="43"/>
    </row>
    <row r="788">
      <c r="N788" s="43"/>
      <c r="O788" s="43"/>
      <c r="P788" s="43"/>
    </row>
    <row r="789">
      <c r="N789" s="43"/>
      <c r="O789" s="43"/>
      <c r="P789" s="43"/>
    </row>
    <row r="790">
      <c r="N790" s="43"/>
      <c r="O790" s="43"/>
      <c r="P790" s="43"/>
    </row>
    <row r="791">
      <c r="N791" s="43"/>
      <c r="O791" s="43"/>
      <c r="P791" s="43"/>
    </row>
    <row r="792">
      <c r="N792" s="43"/>
      <c r="O792" s="43"/>
      <c r="P792" s="43"/>
    </row>
    <row r="793">
      <c r="N793" s="43"/>
      <c r="O793" s="43"/>
      <c r="P793" s="43"/>
    </row>
    <row r="794">
      <c r="N794" s="43"/>
      <c r="O794" s="43"/>
      <c r="P794" s="43"/>
    </row>
    <row r="795">
      <c r="N795" s="43"/>
      <c r="O795" s="43"/>
      <c r="P795" s="43"/>
    </row>
    <row r="796">
      <c r="N796" s="43"/>
      <c r="O796" s="43"/>
      <c r="P796" s="43"/>
    </row>
    <row r="797">
      <c r="N797" s="43"/>
      <c r="O797" s="43"/>
      <c r="P797" s="43"/>
    </row>
    <row r="798">
      <c r="N798" s="43"/>
      <c r="O798" s="43"/>
      <c r="P798" s="43"/>
    </row>
    <row r="799">
      <c r="N799" s="43"/>
      <c r="O799" s="43"/>
      <c r="P799" s="43"/>
    </row>
    <row r="800">
      <c r="N800" s="43"/>
      <c r="O800" s="43"/>
      <c r="P800" s="43"/>
    </row>
    <row r="801">
      <c r="N801" s="43"/>
      <c r="O801" s="43"/>
      <c r="P801" s="43"/>
    </row>
    <row r="802">
      <c r="N802" s="43"/>
      <c r="O802" s="43"/>
      <c r="P802" s="43"/>
    </row>
    <row r="803">
      <c r="N803" s="43"/>
      <c r="O803" s="43"/>
      <c r="P803" s="43"/>
    </row>
    <row r="804">
      <c r="N804" s="43"/>
      <c r="O804" s="43"/>
      <c r="P804" s="43"/>
    </row>
    <row r="805">
      <c r="N805" s="43"/>
      <c r="O805" s="43"/>
      <c r="P805" s="43"/>
    </row>
    <row r="806">
      <c r="N806" s="43"/>
      <c r="O806" s="43"/>
      <c r="P806" s="43"/>
    </row>
    <row r="807">
      <c r="N807" s="43"/>
      <c r="O807" s="43"/>
      <c r="P807" s="43"/>
    </row>
    <row r="808">
      <c r="N808" s="43"/>
      <c r="O808" s="43"/>
      <c r="P808" s="43"/>
    </row>
    <row r="809">
      <c r="N809" s="43"/>
      <c r="O809" s="43"/>
      <c r="P809" s="43"/>
    </row>
    <row r="810">
      <c r="N810" s="43"/>
      <c r="O810" s="43"/>
      <c r="P810" s="43"/>
    </row>
    <row r="811">
      <c r="N811" s="43"/>
      <c r="O811" s="43"/>
      <c r="P811" s="43"/>
    </row>
    <row r="812">
      <c r="N812" s="43"/>
      <c r="O812" s="43"/>
      <c r="P812" s="43"/>
    </row>
    <row r="813">
      <c r="N813" s="43"/>
      <c r="O813" s="43"/>
      <c r="P813" s="43"/>
    </row>
    <row r="814">
      <c r="N814" s="43"/>
      <c r="O814" s="43"/>
      <c r="P814" s="43"/>
    </row>
    <row r="815">
      <c r="N815" s="43"/>
      <c r="O815" s="43"/>
      <c r="P815" s="43"/>
    </row>
    <row r="816">
      <c r="N816" s="43"/>
      <c r="O816" s="43"/>
      <c r="P816" s="43"/>
    </row>
    <row r="817">
      <c r="N817" s="43"/>
      <c r="O817" s="43"/>
      <c r="P817" s="43"/>
    </row>
    <row r="818">
      <c r="N818" s="43"/>
      <c r="O818" s="43"/>
      <c r="P818" s="43"/>
    </row>
    <row r="819">
      <c r="N819" s="43"/>
      <c r="O819" s="43"/>
      <c r="P819" s="43"/>
    </row>
    <row r="820">
      <c r="N820" s="43"/>
      <c r="O820" s="43"/>
      <c r="P820" s="43"/>
    </row>
    <row r="821">
      <c r="N821" s="43"/>
      <c r="O821" s="43"/>
      <c r="P821" s="43"/>
    </row>
    <row r="822">
      <c r="N822" s="43"/>
      <c r="O822" s="43"/>
      <c r="P822" s="43"/>
    </row>
    <row r="823">
      <c r="N823" s="43"/>
      <c r="O823" s="43"/>
      <c r="P823" s="43"/>
    </row>
    <row r="824">
      <c r="N824" s="43"/>
      <c r="O824" s="43"/>
      <c r="P824" s="43"/>
    </row>
    <row r="825">
      <c r="N825" s="43"/>
      <c r="O825" s="43"/>
      <c r="P825" s="43"/>
    </row>
    <row r="826">
      <c r="N826" s="43"/>
      <c r="O826" s="43"/>
      <c r="P826" s="43"/>
    </row>
    <row r="827">
      <c r="N827" s="43"/>
      <c r="O827" s="43"/>
      <c r="P827" s="43"/>
    </row>
    <row r="828">
      <c r="N828" s="43"/>
      <c r="O828" s="43"/>
      <c r="P828" s="43"/>
    </row>
    <row r="829">
      <c r="N829" s="43"/>
      <c r="O829" s="43"/>
      <c r="P829" s="43"/>
    </row>
    <row r="830">
      <c r="N830" s="43"/>
      <c r="O830" s="43"/>
      <c r="P830" s="43"/>
    </row>
    <row r="831">
      <c r="N831" s="43"/>
      <c r="O831" s="43"/>
      <c r="P831" s="43"/>
    </row>
    <row r="832">
      <c r="N832" s="43"/>
      <c r="O832" s="43"/>
      <c r="P832" s="43"/>
    </row>
    <row r="833">
      <c r="N833" s="43"/>
      <c r="O833" s="43"/>
      <c r="P833" s="43"/>
    </row>
    <row r="834">
      <c r="N834" s="43"/>
      <c r="O834" s="43"/>
      <c r="P834" s="43"/>
    </row>
    <row r="835">
      <c r="N835" s="43"/>
      <c r="O835" s="43"/>
      <c r="P835" s="43"/>
    </row>
    <row r="836">
      <c r="N836" s="43"/>
      <c r="O836" s="43"/>
      <c r="P836" s="43"/>
    </row>
    <row r="837">
      <c r="N837" s="43"/>
      <c r="O837" s="43"/>
      <c r="P837" s="43"/>
    </row>
    <row r="838">
      <c r="N838" s="43"/>
      <c r="O838" s="43"/>
      <c r="P838" s="43"/>
    </row>
    <row r="839">
      <c r="N839" s="43"/>
      <c r="O839" s="43"/>
      <c r="P839" s="43"/>
    </row>
    <row r="840">
      <c r="N840" s="43"/>
      <c r="O840" s="43"/>
      <c r="P840" s="43"/>
    </row>
    <row r="841">
      <c r="N841" s="43"/>
      <c r="O841" s="43"/>
      <c r="P841" s="43"/>
    </row>
    <row r="842">
      <c r="N842" s="43"/>
      <c r="O842" s="43"/>
      <c r="P842" s="43"/>
    </row>
    <row r="843">
      <c r="N843" s="43"/>
      <c r="O843" s="43"/>
      <c r="P843" s="43"/>
    </row>
    <row r="844">
      <c r="N844" s="43"/>
      <c r="O844" s="43"/>
      <c r="P844" s="43"/>
    </row>
    <row r="845">
      <c r="N845" s="43"/>
      <c r="O845" s="43"/>
      <c r="P845" s="43"/>
    </row>
    <row r="846">
      <c r="N846" s="43"/>
      <c r="O846" s="43"/>
      <c r="P846" s="43"/>
    </row>
    <row r="847">
      <c r="N847" s="43"/>
      <c r="O847" s="43"/>
      <c r="P847" s="43"/>
    </row>
    <row r="848">
      <c r="N848" s="43"/>
      <c r="O848" s="43"/>
      <c r="P848" s="43"/>
    </row>
    <row r="849">
      <c r="N849" s="43"/>
      <c r="O849" s="43"/>
      <c r="P849" s="43"/>
    </row>
    <row r="850">
      <c r="N850" s="43"/>
      <c r="O850" s="43"/>
      <c r="P850" s="43"/>
    </row>
    <row r="851">
      <c r="N851" s="43"/>
      <c r="O851" s="43"/>
      <c r="P851" s="43"/>
    </row>
    <row r="852">
      <c r="N852" s="43"/>
      <c r="O852" s="43"/>
      <c r="P852" s="43"/>
    </row>
    <row r="853">
      <c r="N853" s="43"/>
      <c r="O853" s="43"/>
      <c r="P853" s="43"/>
    </row>
    <row r="854">
      <c r="N854" s="43"/>
      <c r="O854" s="43"/>
      <c r="P854" s="43"/>
    </row>
    <row r="855">
      <c r="N855" s="43"/>
      <c r="O855" s="43"/>
      <c r="P855" s="43"/>
    </row>
    <row r="856">
      <c r="N856" s="43"/>
      <c r="O856" s="43"/>
      <c r="P856" s="43"/>
    </row>
    <row r="857">
      <c r="N857" s="43"/>
      <c r="O857" s="43"/>
      <c r="P857" s="43"/>
    </row>
    <row r="858">
      <c r="N858" s="43"/>
      <c r="O858" s="43"/>
      <c r="P858" s="43"/>
    </row>
    <row r="859">
      <c r="N859" s="43"/>
      <c r="O859" s="43"/>
      <c r="P859" s="43"/>
    </row>
    <row r="860">
      <c r="N860" s="43"/>
      <c r="O860" s="43"/>
      <c r="P860" s="43"/>
    </row>
    <row r="861">
      <c r="N861" s="43"/>
      <c r="O861" s="43"/>
      <c r="P861" s="43"/>
    </row>
    <row r="862">
      <c r="N862" s="43"/>
      <c r="O862" s="43"/>
      <c r="P862" s="43"/>
    </row>
    <row r="863">
      <c r="N863" s="43"/>
      <c r="O863" s="43"/>
      <c r="P863" s="43"/>
    </row>
    <row r="864">
      <c r="N864" s="43"/>
      <c r="O864" s="43"/>
      <c r="P864" s="43"/>
    </row>
    <row r="865">
      <c r="N865" s="43"/>
      <c r="O865" s="43"/>
      <c r="P865" s="43"/>
    </row>
    <row r="866">
      <c r="N866" s="43"/>
      <c r="O866" s="43"/>
      <c r="P866" s="43"/>
    </row>
    <row r="867">
      <c r="N867" s="43"/>
      <c r="O867" s="43"/>
      <c r="P867" s="43"/>
    </row>
    <row r="868">
      <c r="N868" s="43"/>
      <c r="O868" s="43"/>
      <c r="P868" s="43"/>
    </row>
    <row r="869">
      <c r="N869" s="43"/>
      <c r="O869" s="43"/>
      <c r="P869" s="43"/>
    </row>
    <row r="870">
      <c r="N870" s="43"/>
      <c r="O870" s="43"/>
      <c r="P870" s="43"/>
    </row>
    <row r="871">
      <c r="N871" s="43"/>
      <c r="O871" s="43"/>
      <c r="P871" s="43"/>
    </row>
    <row r="872">
      <c r="N872" s="43"/>
      <c r="O872" s="43"/>
      <c r="P872" s="43"/>
    </row>
    <row r="873">
      <c r="N873" s="43"/>
      <c r="O873" s="43"/>
      <c r="P873" s="43"/>
    </row>
    <row r="874">
      <c r="N874" s="43"/>
      <c r="O874" s="43"/>
      <c r="P874" s="43"/>
    </row>
    <row r="875">
      <c r="N875" s="43"/>
      <c r="O875" s="43"/>
      <c r="P875" s="43"/>
    </row>
    <row r="876">
      <c r="N876" s="43"/>
      <c r="O876" s="43"/>
      <c r="P876" s="43"/>
    </row>
    <row r="877">
      <c r="N877" s="43"/>
      <c r="O877" s="43"/>
      <c r="P877" s="43"/>
    </row>
    <row r="878">
      <c r="N878" s="43"/>
      <c r="O878" s="43"/>
      <c r="P878" s="43"/>
    </row>
    <row r="879">
      <c r="N879" s="43"/>
      <c r="O879" s="43"/>
      <c r="P879" s="43"/>
    </row>
    <row r="880">
      <c r="N880" s="43"/>
      <c r="O880" s="43"/>
      <c r="P880" s="43"/>
    </row>
    <row r="881">
      <c r="N881" s="43"/>
      <c r="O881" s="43"/>
      <c r="P881" s="43"/>
    </row>
    <row r="882">
      <c r="N882" s="43"/>
      <c r="O882" s="43"/>
      <c r="P882" s="43"/>
    </row>
    <row r="883">
      <c r="N883" s="43"/>
      <c r="O883" s="43"/>
      <c r="P883" s="43"/>
    </row>
    <row r="884">
      <c r="N884" s="43"/>
      <c r="O884" s="43"/>
      <c r="P884" s="43"/>
    </row>
    <row r="885">
      <c r="N885" s="43"/>
      <c r="O885" s="43"/>
      <c r="P885" s="43"/>
    </row>
    <row r="886">
      <c r="N886" s="43"/>
      <c r="O886" s="43"/>
      <c r="P886" s="43"/>
    </row>
    <row r="887">
      <c r="N887" s="43"/>
      <c r="O887" s="43"/>
      <c r="P887" s="43"/>
    </row>
    <row r="888">
      <c r="N888" s="43"/>
      <c r="O888" s="43"/>
      <c r="P888" s="43"/>
    </row>
    <row r="889">
      <c r="N889" s="43"/>
      <c r="O889" s="43"/>
      <c r="P889" s="43"/>
    </row>
    <row r="890">
      <c r="N890" s="43"/>
      <c r="O890" s="43"/>
      <c r="P890" s="43"/>
    </row>
    <row r="891">
      <c r="N891" s="43"/>
      <c r="O891" s="43"/>
      <c r="P891" s="43"/>
    </row>
    <row r="892">
      <c r="N892" s="43"/>
      <c r="O892" s="43"/>
      <c r="P892" s="43"/>
    </row>
    <row r="893">
      <c r="N893" s="43"/>
      <c r="O893" s="43"/>
      <c r="P893" s="43"/>
    </row>
    <row r="894">
      <c r="N894" s="43"/>
      <c r="O894" s="43"/>
      <c r="P894" s="43"/>
    </row>
    <row r="895">
      <c r="N895" s="43"/>
      <c r="O895" s="43"/>
      <c r="P895" s="43"/>
    </row>
    <row r="896">
      <c r="N896" s="43"/>
      <c r="O896" s="43"/>
      <c r="P896" s="43"/>
    </row>
    <row r="897">
      <c r="N897" s="43"/>
      <c r="O897" s="43"/>
      <c r="P897" s="43"/>
    </row>
    <row r="898">
      <c r="N898" s="43"/>
      <c r="O898" s="43"/>
      <c r="P898" s="43"/>
    </row>
    <row r="899">
      <c r="N899" s="43"/>
      <c r="O899" s="43"/>
      <c r="P899" s="43"/>
    </row>
    <row r="900">
      <c r="N900" s="43"/>
      <c r="O900" s="43"/>
      <c r="P900" s="43"/>
    </row>
    <row r="901">
      <c r="N901" s="43"/>
      <c r="O901" s="43"/>
      <c r="P901" s="43"/>
    </row>
    <row r="902">
      <c r="N902" s="43"/>
      <c r="O902" s="43"/>
      <c r="P902" s="43"/>
    </row>
    <row r="903">
      <c r="N903" s="43"/>
      <c r="O903" s="43"/>
      <c r="P903" s="43"/>
    </row>
    <row r="904">
      <c r="N904" s="43"/>
      <c r="O904" s="43"/>
      <c r="P904" s="43"/>
    </row>
    <row r="905">
      <c r="N905" s="43"/>
      <c r="O905" s="43"/>
      <c r="P905" s="43"/>
    </row>
    <row r="906">
      <c r="N906" s="43"/>
      <c r="O906" s="43"/>
      <c r="P906" s="43"/>
    </row>
    <row r="907">
      <c r="N907" s="43"/>
      <c r="O907" s="43"/>
      <c r="P907" s="43"/>
    </row>
    <row r="908">
      <c r="N908" s="43"/>
      <c r="O908" s="43"/>
      <c r="P908" s="43"/>
    </row>
    <row r="909">
      <c r="N909" s="43"/>
      <c r="O909" s="43"/>
      <c r="P909" s="43"/>
    </row>
    <row r="910">
      <c r="N910" s="43"/>
      <c r="O910" s="43"/>
      <c r="P910" s="43"/>
    </row>
    <row r="911">
      <c r="N911" s="43"/>
      <c r="O911" s="43"/>
      <c r="P911" s="43"/>
    </row>
    <row r="912">
      <c r="N912" s="43"/>
      <c r="O912" s="43"/>
      <c r="P912" s="43"/>
    </row>
    <row r="913">
      <c r="N913" s="43"/>
      <c r="O913" s="43"/>
      <c r="P913" s="43"/>
    </row>
    <row r="914">
      <c r="N914" s="43"/>
      <c r="O914" s="43"/>
      <c r="P914" s="43"/>
    </row>
    <row r="915">
      <c r="N915" s="43"/>
      <c r="O915" s="43"/>
      <c r="P915" s="43"/>
    </row>
    <row r="916">
      <c r="N916" s="43"/>
      <c r="O916" s="43"/>
      <c r="P916" s="43"/>
    </row>
    <row r="917">
      <c r="N917" s="43"/>
      <c r="O917" s="43"/>
      <c r="P917" s="43"/>
    </row>
    <row r="918">
      <c r="N918" s="43"/>
      <c r="O918" s="43"/>
      <c r="P918" s="43"/>
    </row>
    <row r="919">
      <c r="N919" s="43"/>
      <c r="O919" s="43"/>
      <c r="P919" s="43"/>
    </row>
    <row r="920">
      <c r="N920" s="43"/>
      <c r="O920" s="43"/>
      <c r="P920" s="43"/>
    </row>
    <row r="921">
      <c r="N921" s="43"/>
      <c r="O921" s="43"/>
      <c r="P921" s="43"/>
    </row>
    <row r="922">
      <c r="N922" s="43"/>
      <c r="O922" s="43"/>
      <c r="P922" s="43"/>
    </row>
    <row r="923">
      <c r="N923" s="43"/>
      <c r="O923" s="43"/>
      <c r="P923" s="43"/>
    </row>
    <row r="924">
      <c r="N924" s="43"/>
      <c r="O924" s="43"/>
      <c r="P924" s="43"/>
    </row>
    <row r="925">
      <c r="N925" s="43"/>
      <c r="O925" s="43"/>
      <c r="P925" s="43"/>
    </row>
    <row r="926">
      <c r="N926" s="43"/>
      <c r="O926" s="43"/>
      <c r="P926" s="43"/>
    </row>
    <row r="927">
      <c r="N927" s="43"/>
      <c r="O927" s="43"/>
      <c r="P927" s="43"/>
    </row>
    <row r="928">
      <c r="N928" s="43"/>
      <c r="O928" s="43"/>
      <c r="P928" s="43"/>
    </row>
    <row r="929">
      <c r="N929" s="43"/>
      <c r="O929" s="43"/>
      <c r="P929" s="43"/>
    </row>
    <row r="930">
      <c r="N930" s="43"/>
      <c r="O930" s="43"/>
      <c r="P930" s="43"/>
    </row>
    <row r="931">
      <c r="N931" s="43"/>
      <c r="O931" s="43"/>
      <c r="P931" s="43"/>
    </row>
    <row r="932">
      <c r="N932" s="43"/>
      <c r="O932" s="43"/>
      <c r="P932" s="43"/>
    </row>
    <row r="933">
      <c r="N933" s="43"/>
      <c r="O933" s="43"/>
      <c r="P933" s="43"/>
    </row>
    <row r="934">
      <c r="N934" s="43"/>
      <c r="O934" s="43"/>
      <c r="P934" s="43"/>
    </row>
    <row r="935">
      <c r="N935" s="43"/>
      <c r="O935" s="43"/>
      <c r="P935" s="43"/>
    </row>
    <row r="936">
      <c r="N936" s="43"/>
      <c r="O936" s="43"/>
      <c r="P936" s="43"/>
    </row>
    <row r="937">
      <c r="N937" s="43"/>
      <c r="O937" s="43"/>
      <c r="P937" s="43"/>
    </row>
    <row r="938">
      <c r="N938" s="43"/>
      <c r="O938" s="43"/>
      <c r="P938" s="43"/>
    </row>
    <row r="939">
      <c r="N939" s="43"/>
      <c r="O939" s="43"/>
      <c r="P939" s="43"/>
    </row>
    <row r="940">
      <c r="N940" s="43"/>
      <c r="O940" s="43"/>
      <c r="P940" s="43"/>
    </row>
    <row r="941">
      <c r="N941" s="43"/>
      <c r="O941" s="43"/>
      <c r="P941" s="43"/>
    </row>
    <row r="942">
      <c r="N942" s="43"/>
      <c r="O942" s="43"/>
      <c r="P942" s="43"/>
    </row>
    <row r="943">
      <c r="N943" s="43"/>
      <c r="O943" s="43"/>
      <c r="P943" s="43"/>
    </row>
    <row r="944">
      <c r="N944" s="43"/>
      <c r="O944" s="43"/>
      <c r="P944" s="43"/>
    </row>
    <row r="945">
      <c r="N945" s="43"/>
      <c r="O945" s="43"/>
      <c r="P945" s="43"/>
    </row>
    <row r="946">
      <c r="N946" s="43"/>
      <c r="O946" s="43"/>
      <c r="P946" s="43"/>
    </row>
    <row r="947">
      <c r="N947" s="43"/>
      <c r="O947" s="43"/>
      <c r="P947" s="43"/>
    </row>
    <row r="948">
      <c r="N948" s="43"/>
      <c r="O948" s="43"/>
      <c r="P948" s="43"/>
    </row>
    <row r="949">
      <c r="N949" s="43"/>
      <c r="O949" s="43"/>
      <c r="P949" s="43"/>
    </row>
    <row r="950">
      <c r="N950" s="43"/>
      <c r="O950" s="43"/>
      <c r="P950" s="43"/>
    </row>
    <row r="951">
      <c r="N951" s="43"/>
      <c r="O951" s="43"/>
      <c r="P951" s="43"/>
    </row>
    <row r="952">
      <c r="N952" s="43"/>
      <c r="O952" s="43"/>
      <c r="P952" s="43"/>
    </row>
    <row r="953">
      <c r="N953" s="43"/>
      <c r="O953" s="43"/>
      <c r="P953" s="43"/>
    </row>
    <row r="954">
      <c r="N954" s="43"/>
      <c r="O954" s="43"/>
      <c r="P954" s="43"/>
    </row>
    <row r="955">
      <c r="N955" s="43"/>
      <c r="O955" s="43"/>
      <c r="P955" s="43"/>
    </row>
    <row r="956">
      <c r="N956" s="43"/>
      <c r="O956" s="43"/>
      <c r="P956" s="43"/>
    </row>
    <row r="957">
      <c r="N957" s="43"/>
      <c r="O957" s="43"/>
      <c r="P957" s="43"/>
    </row>
    <row r="958">
      <c r="N958" s="43"/>
      <c r="O958" s="43"/>
      <c r="P958" s="43"/>
    </row>
    <row r="959">
      <c r="N959" s="43"/>
      <c r="O959" s="43"/>
      <c r="P959" s="43"/>
    </row>
    <row r="960">
      <c r="N960" s="43"/>
      <c r="O960" s="43"/>
      <c r="P960" s="43"/>
    </row>
    <row r="961">
      <c r="N961" s="43"/>
      <c r="O961" s="43"/>
      <c r="P961" s="43"/>
    </row>
    <row r="962">
      <c r="N962" s="43"/>
      <c r="O962" s="43"/>
      <c r="P962" s="43"/>
    </row>
    <row r="963">
      <c r="N963" s="43"/>
      <c r="O963" s="43"/>
      <c r="P963" s="43"/>
    </row>
    <row r="964">
      <c r="N964" s="43"/>
      <c r="O964" s="43"/>
      <c r="P964" s="43"/>
    </row>
    <row r="965">
      <c r="N965" s="43"/>
      <c r="O965" s="43"/>
      <c r="P965" s="43"/>
    </row>
    <row r="966">
      <c r="N966" s="43"/>
      <c r="O966" s="43"/>
      <c r="P966" s="43"/>
    </row>
    <row r="967">
      <c r="N967" s="43"/>
      <c r="O967" s="43"/>
      <c r="P967" s="43"/>
    </row>
    <row r="968">
      <c r="N968" s="43"/>
      <c r="O968" s="43"/>
      <c r="P968" s="43"/>
    </row>
    <row r="969">
      <c r="N969" s="43"/>
      <c r="O969" s="43"/>
      <c r="P969" s="43"/>
    </row>
    <row r="970">
      <c r="N970" s="43"/>
      <c r="O970" s="43"/>
      <c r="P970" s="43"/>
    </row>
    <row r="971">
      <c r="N971" s="43"/>
      <c r="O971" s="43"/>
      <c r="P971" s="43"/>
    </row>
    <row r="972">
      <c r="N972" s="43"/>
      <c r="O972" s="43"/>
      <c r="P972" s="43"/>
    </row>
    <row r="973">
      <c r="N973" s="43"/>
      <c r="O973" s="43"/>
      <c r="P973" s="43"/>
    </row>
    <row r="974">
      <c r="N974" s="43"/>
      <c r="O974" s="43"/>
      <c r="P974" s="43"/>
    </row>
    <row r="975">
      <c r="N975" s="43"/>
      <c r="O975" s="43"/>
      <c r="P975" s="43"/>
    </row>
    <row r="976">
      <c r="N976" s="43"/>
      <c r="O976" s="43"/>
      <c r="P976" s="43"/>
    </row>
    <row r="977">
      <c r="N977" s="43"/>
      <c r="O977" s="43"/>
      <c r="P977" s="43"/>
    </row>
    <row r="978">
      <c r="N978" s="43"/>
      <c r="O978" s="43"/>
      <c r="P978" s="43"/>
    </row>
    <row r="979">
      <c r="N979" s="43"/>
      <c r="O979" s="43"/>
      <c r="P979" s="43"/>
    </row>
    <row r="980">
      <c r="N980" s="43"/>
      <c r="O980" s="43"/>
      <c r="P980" s="43"/>
    </row>
    <row r="981">
      <c r="N981" s="43"/>
      <c r="O981" s="43"/>
      <c r="P981" s="43"/>
    </row>
    <row r="982">
      <c r="N982" s="43"/>
      <c r="O982" s="43"/>
      <c r="P982" s="43"/>
    </row>
    <row r="983">
      <c r="N983" s="43"/>
      <c r="O983" s="43"/>
      <c r="P983" s="43"/>
    </row>
    <row r="984">
      <c r="N984" s="43"/>
      <c r="O984" s="43"/>
      <c r="P984" s="43"/>
    </row>
    <row r="985">
      <c r="N985" s="43"/>
      <c r="O985" s="43"/>
      <c r="P985" s="43"/>
    </row>
    <row r="986">
      <c r="N986" s="43"/>
      <c r="O986" s="43"/>
      <c r="P986" s="43"/>
    </row>
    <row r="987">
      <c r="N987" s="43"/>
      <c r="O987" s="43"/>
      <c r="P987" s="43"/>
    </row>
    <row r="988">
      <c r="N988" s="43"/>
      <c r="O988" s="43"/>
      <c r="P988" s="43"/>
    </row>
    <row r="989">
      <c r="N989" s="43"/>
      <c r="O989" s="43"/>
      <c r="P989" s="43"/>
    </row>
    <row r="990">
      <c r="N990" s="43"/>
      <c r="O990" s="43"/>
      <c r="P990" s="43"/>
    </row>
    <row r="991">
      <c r="N991" s="43"/>
      <c r="O991" s="43"/>
      <c r="P991" s="43"/>
    </row>
    <row r="992">
      <c r="N992" s="43"/>
      <c r="O992" s="43"/>
      <c r="P992" s="43"/>
    </row>
    <row r="993">
      <c r="N993" s="43"/>
      <c r="O993" s="43"/>
      <c r="P993" s="43"/>
    </row>
    <row r="994">
      <c r="N994" s="43"/>
      <c r="O994" s="43"/>
      <c r="P994" s="43"/>
    </row>
    <row r="995">
      <c r="N995" s="43"/>
      <c r="O995" s="43"/>
      <c r="P995" s="43"/>
    </row>
    <row r="996">
      <c r="N996" s="43"/>
      <c r="O996" s="43"/>
      <c r="P996" s="43"/>
    </row>
    <row r="997">
      <c r="N997" s="43"/>
      <c r="O997" s="43"/>
      <c r="P997" s="43"/>
    </row>
    <row r="998">
      <c r="N998" s="43"/>
      <c r="O998" s="43"/>
      <c r="P998" s="43"/>
    </row>
    <row r="999">
      <c r="N999" s="43"/>
      <c r="O999" s="43"/>
      <c r="P999" s="43"/>
    </row>
    <row r="1000">
      <c r="N1000" s="43"/>
      <c r="O1000" s="43"/>
      <c r="P1000" s="43"/>
    </row>
  </sheetData>
  <mergeCells count="3">
    <mergeCell ref="P3:P8"/>
    <mergeCell ref="P9:P12"/>
    <mergeCell ref="P13:P14"/>
  </mergeCell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0.13"/>
    <col customWidth="1" min="4" max="4" width="25.88"/>
    <col customWidth="1" min="5" max="5" width="21.88"/>
  </cols>
  <sheetData>
    <row r="1">
      <c r="A1" s="33" t="s">
        <v>1390</v>
      </c>
      <c r="B1" s="33" t="s">
        <v>1600</v>
      </c>
      <c r="C1" s="33" t="s">
        <v>1410</v>
      </c>
      <c r="D1" s="33" t="s">
        <v>671</v>
      </c>
      <c r="E1" s="33" t="s">
        <v>672</v>
      </c>
      <c r="F1" s="33" t="s">
        <v>673</v>
      </c>
    </row>
    <row r="2" ht="69.0" customHeight="1">
      <c r="A2" s="52" t="s">
        <v>1411</v>
      </c>
      <c r="B2" s="33" t="s">
        <v>1607</v>
      </c>
      <c r="C2" s="33" t="s">
        <v>1608</v>
      </c>
      <c r="D2" s="33" t="s">
        <v>1609</v>
      </c>
      <c r="E2" s="33" t="s">
        <v>731</v>
      </c>
      <c r="F2" s="35"/>
    </row>
    <row r="3" ht="46.5" customHeight="1">
      <c r="A3" s="52" t="s">
        <v>1610</v>
      </c>
      <c r="B3" s="34" t="s">
        <v>1611</v>
      </c>
      <c r="C3" s="33" t="s">
        <v>1612</v>
      </c>
      <c r="D3" s="33" t="s">
        <v>1613</v>
      </c>
      <c r="E3" s="33" t="s">
        <v>1614</v>
      </c>
      <c r="F3" s="33"/>
    </row>
    <row r="4">
      <c r="A4" s="52" t="s">
        <v>1426</v>
      </c>
      <c r="B4" s="33" t="s">
        <v>1615</v>
      </c>
      <c r="C4" s="33" t="s">
        <v>1616</v>
      </c>
      <c r="D4" s="33" t="s">
        <v>1619</v>
      </c>
      <c r="E4" s="33" t="s">
        <v>725</v>
      </c>
      <c r="F4" s="34"/>
    </row>
    <row r="5" ht="67.5" customHeight="1">
      <c r="A5" s="52" t="s">
        <v>1621</v>
      </c>
      <c r="B5" s="33" t="s">
        <v>1623</v>
      </c>
      <c r="C5" s="33" t="s">
        <v>1625</v>
      </c>
      <c r="D5" s="33" t="s">
        <v>1626</v>
      </c>
      <c r="E5" s="33" t="s">
        <v>1627</v>
      </c>
      <c r="F5" s="33"/>
    </row>
    <row r="6" ht="93.0" customHeight="1">
      <c r="A6" s="52" t="s">
        <v>1469</v>
      </c>
      <c r="B6" s="33" t="s">
        <v>1629</v>
      </c>
      <c r="C6" s="33" t="s">
        <v>1416</v>
      </c>
      <c r="D6" s="33" t="s">
        <v>1631</v>
      </c>
      <c r="E6" s="33" t="s">
        <v>1627</v>
      </c>
      <c r="F6" s="35"/>
      <c r="G6" s="33"/>
    </row>
    <row r="7" ht="42.75" customHeight="1">
      <c r="A7" s="52" t="s">
        <v>1481</v>
      </c>
      <c r="B7" s="33" t="s">
        <v>1632</v>
      </c>
      <c r="C7" s="33" t="s">
        <v>1612</v>
      </c>
      <c r="D7" s="33" t="s">
        <v>1633</v>
      </c>
      <c r="E7" s="33" t="s">
        <v>1634</v>
      </c>
      <c r="F7" s="33"/>
    </row>
    <row r="8" ht="60.75" customHeight="1">
      <c r="A8" s="52" t="s">
        <v>1500</v>
      </c>
      <c r="B8" s="33" t="s">
        <v>1635</v>
      </c>
      <c r="C8" s="33" t="s">
        <v>1636</v>
      </c>
      <c r="D8" s="33" t="s">
        <v>692</v>
      </c>
      <c r="E8" s="33" t="s">
        <v>693</v>
      </c>
      <c r="F8" s="33"/>
    </row>
    <row r="9" ht="60.75" customHeight="1">
      <c r="A9" s="52" t="s">
        <v>1490</v>
      </c>
      <c r="B9" s="33" t="s">
        <v>1637</v>
      </c>
      <c r="C9" s="33" t="s">
        <v>1638</v>
      </c>
      <c r="D9" s="33" t="s">
        <v>1639</v>
      </c>
      <c r="E9" s="33" t="s">
        <v>1640</v>
      </c>
      <c r="F9" s="35"/>
    </row>
    <row r="10">
      <c r="A10" s="52" t="s">
        <v>1510</v>
      </c>
      <c r="B10" s="33" t="s">
        <v>1641</v>
      </c>
      <c r="C10" s="33" t="s">
        <v>1636</v>
      </c>
      <c r="D10" s="33" t="s">
        <v>1642</v>
      </c>
      <c r="E10" s="34" t="s">
        <v>681</v>
      </c>
      <c r="F10" s="33"/>
    </row>
    <row r="11">
      <c r="A11" s="38" t="s">
        <v>1515</v>
      </c>
      <c r="B11" s="33" t="s">
        <v>1643</v>
      </c>
      <c r="C11" s="38" t="s">
        <v>1645</v>
      </c>
      <c r="D11" s="33" t="s">
        <v>1646</v>
      </c>
      <c r="E11" s="33" t="s">
        <v>1648</v>
      </c>
    </row>
    <row r="12">
      <c r="A12" s="38" t="s">
        <v>1523</v>
      </c>
      <c r="B12" s="33" t="s">
        <v>1651</v>
      </c>
      <c r="C12" s="38" t="s">
        <v>1625</v>
      </c>
      <c r="D12" s="33" t="s">
        <v>1652</v>
      </c>
      <c r="E12" s="33" t="s">
        <v>741</v>
      </c>
    </row>
    <row r="13">
      <c r="A13" s="38" t="s">
        <v>1529</v>
      </c>
      <c r="B13" s="36" t="s">
        <v>1654</v>
      </c>
      <c r="C13" s="1" t="s">
        <v>1625</v>
      </c>
      <c r="D13" s="36" t="s">
        <v>1655</v>
      </c>
      <c r="E13" s="1" t="s">
        <v>808</v>
      </c>
    </row>
    <row r="14">
      <c r="A14" s="38" t="s">
        <v>1534</v>
      </c>
      <c r="B14" s="36" t="s">
        <v>1656</v>
      </c>
      <c r="C14" s="1" t="s">
        <v>1657</v>
      </c>
      <c r="D14" s="33" t="s">
        <v>1658</v>
      </c>
      <c r="E14" s="33" t="s">
        <v>1659</v>
      </c>
    </row>
    <row r="15">
      <c r="A15" s="38" t="s">
        <v>1537</v>
      </c>
      <c r="B15" s="33" t="s">
        <v>1660</v>
      </c>
      <c r="C15" s="1" t="s">
        <v>1625</v>
      </c>
      <c r="D15" s="33" t="s">
        <v>1661</v>
      </c>
      <c r="E15" s="33" t="s">
        <v>1662</v>
      </c>
    </row>
    <row r="16">
      <c r="A16" s="38" t="s">
        <v>1538</v>
      </c>
      <c r="B16" s="36" t="s">
        <v>1663</v>
      </c>
      <c r="C16" s="1" t="s">
        <v>1664</v>
      </c>
      <c r="D16" s="33" t="s">
        <v>1666</v>
      </c>
      <c r="E16" s="33" t="s">
        <v>1667</v>
      </c>
    </row>
    <row r="17">
      <c r="A17" s="38" t="s">
        <v>1542</v>
      </c>
      <c r="B17" s="33" t="s">
        <v>1670</v>
      </c>
      <c r="C17" s="1" t="s">
        <v>1616</v>
      </c>
      <c r="D17" s="33" t="s">
        <v>801</v>
      </c>
      <c r="E17" s="33" t="s">
        <v>1671</v>
      </c>
    </row>
    <row r="18">
      <c r="A18" s="38" t="s">
        <v>1544</v>
      </c>
      <c r="B18" s="33" t="s">
        <v>1672</v>
      </c>
      <c r="C18" s="1" t="s">
        <v>1673</v>
      </c>
      <c r="D18" s="38" t="s">
        <v>1674</v>
      </c>
      <c r="E18" s="36" t="s">
        <v>1675</v>
      </c>
    </row>
    <row r="19">
      <c r="A19" s="38" t="s">
        <v>1548</v>
      </c>
      <c r="B19" s="33" t="s">
        <v>1676</v>
      </c>
      <c r="C19" s="1" t="s">
        <v>1657</v>
      </c>
      <c r="D19" s="33" t="s">
        <v>1677</v>
      </c>
      <c r="E19" s="33" t="s">
        <v>1678</v>
      </c>
    </row>
    <row r="20">
      <c r="A20" s="38" t="s">
        <v>1557</v>
      </c>
      <c r="B20" s="36" t="s">
        <v>1679</v>
      </c>
      <c r="C20" s="1" t="s">
        <v>1680</v>
      </c>
      <c r="D20" s="33" t="s">
        <v>1681</v>
      </c>
      <c r="E20" s="1" t="s">
        <v>808</v>
      </c>
    </row>
    <row r="21">
      <c r="A21" s="38" t="s">
        <v>1559</v>
      </c>
      <c r="B21" s="36" t="s">
        <v>1682</v>
      </c>
      <c r="C21" s="1" t="s">
        <v>1683</v>
      </c>
      <c r="D21" s="33" t="s">
        <v>832</v>
      </c>
      <c r="E21" s="36" t="s">
        <v>1684</v>
      </c>
    </row>
    <row r="22">
      <c r="A22" s="38" t="s">
        <v>1563</v>
      </c>
      <c r="B22" s="36" t="s">
        <v>1685</v>
      </c>
      <c r="C22" s="1" t="s">
        <v>1686</v>
      </c>
    </row>
    <row r="23">
      <c r="A23" s="38"/>
    </row>
    <row r="24">
      <c r="A24" s="53"/>
    </row>
    <row r="25">
      <c r="A25" s="53"/>
    </row>
    <row r="26">
      <c r="A26" s="53"/>
    </row>
    <row r="27">
      <c r="A27" s="53"/>
    </row>
    <row r="28">
      <c r="A28" s="53"/>
    </row>
    <row r="29">
      <c r="A29" s="53"/>
    </row>
    <row r="30">
      <c r="A30" s="53"/>
    </row>
    <row r="31">
      <c r="A31" s="53"/>
    </row>
    <row r="32">
      <c r="A32" s="53"/>
    </row>
    <row r="33">
      <c r="A33" s="53"/>
    </row>
    <row r="34">
      <c r="A34" s="53"/>
    </row>
    <row r="35">
      <c r="A35" s="53"/>
    </row>
    <row r="36">
      <c r="A36" s="53"/>
    </row>
    <row r="37">
      <c r="A37" s="53"/>
    </row>
    <row r="38">
      <c r="A38" s="53"/>
    </row>
    <row r="39">
      <c r="A39" s="53"/>
    </row>
    <row r="40">
      <c r="A40" s="53"/>
    </row>
    <row r="41">
      <c r="A41" s="53"/>
    </row>
    <row r="42">
      <c r="A42" s="53"/>
    </row>
    <row r="43">
      <c r="A43" s="53"/>
    </row>
    <row r="44">
      <c r="A44" s="53"/>
    </row>
    <row r="45">
      <c r="A45" s="53"/>
    </row>
    <row r="46">
      <c r="A46" s="53"/>
    </row>
    <row r="47">
      <c r="A47" s="53"/>
    </row>
    <row r="48">
      <c r="A48" s="53"/>
    </row>
    <row r="49">
      <c r="A49" s="53"/>
    </row>
    <row r="50">
      <c r="A50" s="53"/>
    </row>
    <row r="51">
      <c r="A51" s="53"/>
    </row>
    <row r="52">
      <c r="A52" s="53"/>
    </row>
    <row r="53">
      <c r="A53" s="53"/>
    </row>
    <row r="54">
      <c r="A54" s="53"/>
    </row>
    <row r="55">
      <c r="A55" s="53"/>
    </row>
    <row r="56">
      <c r="A56" s="53"/>
    </row>
    <row r="57">
      <c r="A57" s="53"/>
    </row>
    <row r="58">
      <c r="A58" s="53"/>
    </row>
    <row r="59">
      <c r="A59" s="53"/>
    </row>
    <row r="60">
      <c r="A60" s="53"/>
    </row>
    <row r="61">
      <c r="A61" s="53"/>
    </row>
    <row r="62">
      <c r="A62" s="53"/>
    </row>
    <row r="63">
      <c r="A63" s="53"/>
    </row>
    <row r="64">
      <c r="A64" s="53"/>
    </row>
    <row r="65">
      <c r="A65" s="53"/>
    </row>
    <row r="66">
      <c r="A66" s="53"/>
    </row>
    <row r="67">
      <c r="A67" s="53"/>
    </row>
    <row r="68">
      <c r="A68" s="53"/>
    </row>
    <row r="69">
      <c r="A69" s="53"/>
    </row>
    <row r="70">
      <c r="A70" s="53"/>
    </row>
    <row r="71">
      <c r="A71" s="53"/>
    </row>
    <row r="72">
      <c r="A72" s="53"/>
    </row>
    <row r="73">
      <c r="A73" s="53"/>
    </row>
    <row r="74">
      <c r="A74" s="53"/>
    </row>
    <row r="75">
      <c r="A75" s="53"/>
    </row>
    <row r="76">
      <c r="A76" s="53"/>
    </row>
    <row r="77">
      <c r="A77" s="53"/>
    </row>
    <row r="78">
      <c r="A78" s="53"/>
    </row>
    <row r="79">
      <c r="A79" s="53"/>
    </row>
    <row r="80">
      <c r="A80" s="53"/>
    </row>
    <row r="81">
      <c r="A81" s="53"/>
    </row>
    <row r="82">
      <c r="A82" s="53"/>
    </row>
    <row r="83">
      <c r="A83" s="53"/>
    </row>
    <row r="84">
      <c r="A84" s="53"/>
    </row>
    <row r="85">
      <c r="A85" s="53"/>
    </row>
    <row r="86">
      <c r="A86" s="53"/>
    </row>
    <row r="87">
      <c r="A87" s="53"/>
    </row>
    <row r="88">
      <c r="A88" s="53"/>
    </row>
    <row r="89">
      <c r="A89" s="53"/>
    </row>
    <row r="90">
      <c r="A90" s="53"/>
    </row>
    <row r="91">
      <c r="A91" s="53"/>
    </row>
    <row r="92">
      <c r="A92" s="53"/>
    </row>
    <row r="93">
      <c r="A93" s="53"/>
    </row>
    <row r="94">
      <c r="A94" s="53"/>
    </row>
    <row r="95">
      <c r="A95" s="53"/>
    </row>
    <row r="96">
      <c r="A96" s="53"/>
    </row>
    <row r="97">
      <c r="A97" s="53"/>
    </row>
    <row r="98">
      <c r="A98" s="53"/>
    </row>
    <row r="99">
      <c r="A99" s="53"/>
    </row>
    <row r="100">
      <c r="A100" s="53"/>
    </row>
    <row r="101">
      <c r="A101" s="53"/>
    </row>
    <row r="102">
      <c r="A102" s="53"/>
    </row>
    <row r="103">
      <c r="A103" s="53"/>
    </row>
    <row r="104">
      <c r="A104" s="53"/>
    </row>
    <row r="105">
      <c r="A105" s="53"/>
    </row>
    <row r="106">
      <c r="A106" s="53"/>
    </row>
    <row r="107">
      <c r="A107" s="53"/>
    </row>
    <row r="108">
      <c r="A108" s="53"/>
    </row>
    <row r="109">
      <c r="A109" s="53"/>
    </row>
    <row r="110">
      <c r="A110" s="53"/>
    </row>
    <row r="111">
      <c r="A111" s="53"/>
    </row>
    <row r="112">
      <c r="A112" s="53"/>
    </row>
    <row r="113">
      <c r="A113" s="53"/>
    </row>
    <row r="114">
      <c r="A114" s="53"/>
    </row>
    <row r="115">
      <c r="A115" s="53"/>
    </row>
    <row r="116">
      <c r="A116" s="53"/>
    </row>
    <row r="117">
      <c r="A117" s="53"/>
    </row>
    <row r="118">
      <c r="A118" s="53"/>
    </row>
    <row r="119">
      <c r="A119" s="53"/>
    </row>
    <row r="120">
      <c r="A120" s="53"/>
    </row>
    <row r="121">
      <c r="A121" s="53"/>
    </row>
    <row r="122">
      <c r="A122" s="53"/>
    </row>
    <row r="123">
      <c r="A123" s="53"/>
    </row>
    <row r="124">
      <c r="A124" s="53"/>
    </row>
    <row r="125">
      <c r="A125" s="53"/>
    </row>
    <row r="126">
      <c r="A126" s="53"/>
    </row>
    <row r="127">
      <c r="A127" s="53"/>
    </row>
    <row r="128">
      <c r="A128" s="53"/>
    </row>
    <row r="129">
      <c r="A129" s="53"/>
    </row>
    <row r="130">
      <c r="A130" s="53"/>
    </row>
    <row r="131">
      <c r="A131" s="53"/>
    </row>
    <row r="132">
      <c r="A132" s="53"/>
    </row>
    <row r="133">
      <c r="A133" s="53"/>
    </row>
    <row r="134">
      <c r="A134" s="53"/>
    </row>
    <row r="135">
      <c r="A135" s="53"/>
    </row>
    <row r="136">
      <c r="A136" s="53"/>
    </row>
    <row r="137">
      <c r="A137" s="53"/>
    </row>
    <row r="138">
      <c r="A138" s="53"/>
    </row>
    <row r="139">
      <c r="A139" s="53"/>
    </row>
    <row r="140">
      <c r="A140" s="53"/>
    </row>
    <row r="141">
      <c r="A141" s="53"/>
    </row>
    <row r="142">
      <c r="A142" s="53"/>
    </row>
    <row r="143">
      <c r="A143" s="53"/>
    </row>
    <row r="144">
      <c r="A144" s="53"/>
    </row>
    <row r="145">
      <c r="A145" s="53"/>
    </row>
    <row r="146">
      <c r="A146" s="53"/>
    </row>
    <row r="147">
      <c r="A147" s="53"/>
    </row>
    <row r="148">
      <c r="A148" s="53"/>
    </row>
    <row r="149">
      <c r="A149" s="53"/>
    </row>
    <row r="150">
      <c r="A150" s="53"/>
    </row>
    <row r="151">
      <c r="A151" s="53"/>
    </row>
    <row r="152">
      <c r="A152" s="53"/>
    </row>
    <row r="153">
      <c r="A153" s="53"/>
    </row>
    <row r="154">
      <c r="A154" s="53"/>
    </row>
    <row r="155">
      <c r="A155" s="53"/>
    </row>
    <row r="156">
      <c r="A156" s="53"/>
    </row>
    <row r="157">
      <c r="A157" s="53"/>
    </row>
    <row r="158">
      <c r="A158" s="53"/>
    </row>
    <row r="159">
      <c r="A159" s="53"/>
    </row>
    <row r="160">
      <c r="A160" s="53"/>
    </row>
    <row r="161">
      <c r="A161" s="53"/>
    </row>
    <row r="162">
      <c r="A162" s="53"/>
    </row>
    <row r="163">
      <c r="A163" s="53"/>
    </row>
    <row r="164">
      <c r="A164" s="53"/>
    </row>
    <row r="165">
      <c r="A165" s="53"/>
    </row>
    <row r="166">
      <c r="A166" s="53"/>
    </row>
    <row r="167">
      <c r="A167" s="53"/>
    </row>
    <row r="168">
      <c r="A168" s="53"/>
    </row>
    <row r="169">
      <c r="A169" s="53"/>
    </row>
    <row r="170">
      <c r="A170" s="53"/>
    </row>
    <row r="171">
      <c r="A171" s="53"/>
    </row>
    <row r="172">
      <c r="A172" s="53"/>
    </row>
    <row r="173">
      <c r="A173" s="53"/>
    </row>
    <row r="174">
      <c r="A174" s="53"/>
    </row>
    <row r="175">
      <c r="A175" s="53"/>
    </row>
    <row r="176">
      <c r="A176" s="53"/>
    </row>
    <row r="177">
      <c r="A177" s="53"/>
    </row>
    <row r="178">
      <c r="A178" s="53"/>
    </row>
    <row r="179">
      <c r="A179" s="53"/>
    </row>
    <row r="180">
      <c r="A180" s="53"/>
    </row>
    <row r="181">
      <c r="A181" s="53"/>
    </row>
    <row r="182">
      <c r="A182" s="53"/>
    </row>
    <row r="183">
      <c r="A183" s="53"/>
    </row>
    <row r="184">
      <c r="A184" s="53"/>
    </row>
    <row r="185">
      <c r="A185" s="53"/>
    </row>
    <row r="186">
      <c r="A186" s="53"/>
    </row>
    <row r="187">
      <c r="A187" s="53"/>
    </row>
    <row r="188">
      <c r="A188" s="53"/>
    </row>
    <row r="189">
      <c r="A189" s="53"/>
    </row>
    <row r="190">
      <c r="A190" s="53"/>
    </row>
    <row r="191">
      <c r="A191" s="53"/>
    </row>
    <row r="192">
      <c r="A192" s="53"/>
    </row>
    <row r="193">
      <c r="A193" s="53"/>
    </row>
    <row r="194">
      <c r="A194" s="53"/>
    </row>
    <row r="195">
      <c r="A195" s="53"/>
    </row>
    <row r="196">
      <c r="A196" s="53"/>
    </row>
    <row r="197">
      <c r="A197" s="53"/>
    </row>
    <row r="198">
      <c r="A198" s="53"/>
    </row>
    <row r="199">
      <c r="A199" s="53"/>
    </row>
    <row r="200">
      <c r="A200" s="53"/>
    </row>
    <row r="201">
      <c r="A201" s="53"/>
    </row>
    <row r="202">
      <c r="A202" s="53"/>
    </row>
    <row r="203">
      <c r="A203" s="53"/>
    </row>
    <row r="204">
      <c r="A204" s="53"/>
    </row>
    <row r="205">
      <c r="A205" s="53"/>
    </row>
    <row r="206">
      <c r="A206" s="53"/>
    </row>
    <row r="207">
      <c r="A207" s="53"/>
    </row>
    <row r="208">
      <c r="A208" s="53"/>
    </row>
    <row r="209">
      <c r="A209" s="53"/>
    </row>
    <row r="210">
      <c r="A210" s="53"/>
    </row>
    <row r="211">
      <c r="A211" s="53"/>
    </row>
    <row r="212">
      <c r="A212" s="53"/>
    </row>
    <row r="213">
      <c r="A213" s="53"/>
    </row>
    <row r="214">
      <c r="A214" s="53"/>
    </row>
    <row r="215">
      <c r="A215" s="53"/>
    </row>
    <row r="216">
      <c r="A216" s="53"/>
    </row>
    <row r="217">
      <c r="A217" s="53"/>
    </row>
    <row r="218">
      <c r="A218" s="53"/>
    </row>
    <row r="219">
      <c r="A219" s="53"/>
    </row>
    <row r="220">
      <c r="A220" s="53"/>
    </row>
    <row r="221">
      <c r="A221" s="53"/>
    </row>
    <row r="222">
      <c r="A222" s="53"/>
    </row>
    <row r="223">
      <c r="A223" s="53"/>
    </row>
    <row r="224">
      <c r="A224" s="53"/>
    </row>
    <row r="225">
      <c r="A225" s="53"/>
    </row>
    <row r="226">
      <c r="A226" s="53"/>
    </row>
    <row r="227">
      <c r="A227" s="53"/>
    </row>
    <row r="228">
      <c r="A228" s="53"/>
    </row>
    <row r="229">
      <c r="A229" s="53"/>
    </row>
    <row r="230">
      <c r="A230" s="53"/>
    </row>
    <row r="231">
      <c r="A231" s="53"/>
    </row>
    <row r="232">
      <c r="A232" s="53"/>
    </row>
    <row r="233">
      <c r="A233" s="53"/>
    </row>
    <row r="234">
      <c r="A234" s="53"/>
    </row>
    <row r="235">
      <c r="A235" s="53"/>
    </row>
    <row r="236">
      <c r="A236" s="53"/>
    </row>
    <row r="237">
      <c r="A237" s="53"/>
    </row>
    <row r="238">
      <c r="A238" s="53"/>
    </row>
    <row r="239">
      <c r="A239" s="53"/>
    </row>
    <row r="240">
      <c r="A240" s="53"/>
    </row>
    <row r="241">
      <c r="A241" s="53"/>
    </row>
    <row r="242">
      <c r="A242" s="53"/>
    </row>
    <row r="243">
      <c r="A243" s="53"/>
    </row>
    <row r="244">
      <c r="A244" s="53"/>
    </row>
    <row r="245">
      <c r="A245" s="53"/>
    </row>
    <row r="246">
      <c r="A246" s="53"/>
    </row>
    <row r="247">
      <c r="A247" s="53"/>
    </row>
    <row r="248">
      <c r="A248" s="53"/>
    </row>
    <row r="249">
      <c r="A249" s="53"/>
    </row>
    <row r="250">
      <c r="A250" s="53"/>
    </row>
    <row r="251">
      <c r="A251" s="53"/>
    </row>
    <row r="252">
      <c r="A252" s="53"/>
    </row>
    <row r="253">
      <c r="A253" s="53"/>
    </row>
    <row r="254">
      <c r="A254" s="53"/>
    </row>
    <row r="255">
      <c r="A255" s="53"/>
    </row>
    <row r="256">
      <c r="A256" s="53"/>
    </row>
    <row r="257">
      <c r="A257" s="53"/>
    </row>
    <row r="258">
      <c r="A258" s="53"/>
    </row>
    <row r="259">
      <c r="A259" s="53"/>
    </row>
    <row r="260">
      <c r="A260" s="53"/>
    </row>
    <row r="261">
      <c r="A261" s="53"/>
    </row>
    <row r="262">
      <c r="A262" s="53"/>
    </row>
    <row r="263">
      <c r="A263" s="53"/>
    </row>
    <row r="264">
      <c r="A264" s="53"/>
    </row>
    <row r="265">
      <c r="A265" s="53"/>
    </row>
    <row r="266">
      <c r="A266" s="53"/>
    </row>
    <row r="267">
      <c r="A267" s="53"/>
    </row>
    <row r="268">
      <c r="A268" s="53"/>
    </row>
    <row r="269">
      <c r="A269" s="53"/>
    </row>
    <row r="270">
      <c r="A270" s="53"/>
    </row>
    <row r="271">
      <c r="A271" s="53"/>
    </row>
    <row r="272">
      <c r="A272" s="53"/>
    </row>
    <row r="273">
      <c r="A273" s="53"/>
    </row>
    <row r="274">
      <c r="A274" s="53"/>
    </row>
    <row r="275">
      <c r="A275" s="53"/>
    </row>
    <row r="276">
      <c r="A276" s="53"/>
    </row>
    <row r="277">
      <c r="A277" s="53"/>
    </row>
    <row r="278">
      <c r="A278" s="53"/>
    </row>
    <row r="279">
      <c r="A279" s="53"/>
    </row>
    <row r="280">
      <c r="A280" s="53"/>
    </row>
    <row r="281">
      <c r="A281" s="53"/>
    </row>
    <row r="282">
      <c r="A282" s="53"/>
    </row>
    <row r="283">
      <c r="A283" s="53"/>
    </row>
    <row r="284">
      <c r="A284" s="53"/>
    </row>
    <row r="285">
      <c r="A285" s="53"/>
    </row>
    <row r="286">
      <c r="A286" s="53"/>
    </row>
    <row r="287">
      <c r="A287" s="53"/>
    </row>
    <row r="288">
      <c r="A288" s="53"/>
    </row>
    <row r="289">
      <c r="A289" s="53"/>
    </row>
    <row r="290">
      <c r="A290" s="53"/>
    </row>
    <row r="291">
      <c r="A291" s="53"/>
    </row>
    <row r="292">
      <c r="A292" s="53"/>
    </row>
    <row r="293">
      <c r="A293" s="53"/>
    </row>
    <row r="294">
      <c r="A294" s="53"/>
    </row>
    <row r="295">
      <c r="A295" s="53"/>
    </row>
    <row r="296">
      <c r="A296" s="53"/>
    </row>
    <row r="297">
      <c r="A297" s="53"/>
    </row>
    <row r="298">
      <c r="A298" s="53"/>
    </row>
    <row r="299">
      <c r="A299" s="53"/>
    </row>
    <row r="300">
      <c r="A300" s="53"/>
    </row>
    <row r="301">
      <c r="A301" s="53"/>
    </row>
    <row r="302">
      <c r="A302" s="53"/>
    </row>
    <row r="303">
      <c r="A303" s="53"/>
    </row>
    <row r="304">
      <c r="A304" s="53"/>
    </row>
    <row r="305">
      <c r="A305" s="53"/>
    </row>
    <row r="306">
      <c r="A306" s="53"/>
    </row>
    <row r="307">
      <c r="A307" s="53"/>
    </row>
    <row r="308">
      <c r="A308" s="53"/>
    </row>
    <row r="309">
      <c r="A309" s="53"/>
    </row>
    <row r="310">
      <c r="A310" s="53"/>
    </row>
    <row r="311">
      <c r="A311" s="53"/>
    </row>
    <row r="312">
      <c r="A312" s="53"/>
    </row>
    <row r="313">
      <c r="A313" s="53"/>
    </row>
    <row r="314">
      <c r="A314" s="53"/>
    </row>
    <row r="315">
      <c r="A315" s="53"/>
    </row>
    <row r="316">
      <c r="A316" s="53"/>
    </row>
    <row r="317">
      <c r="A317" s="53"/>
    </row>
    <row r="318">
      <c r="A318" s="53"/>
    </row>
    <row r="319">
      <c r="A319" s="53"/>
    </row>
    <row r="320">
      <c r="A320" s="53"/>
    </row>
    <row r="321">
      <c r="A321" s="53"/>
    </row>
    <row r="322">
      <c r="A322" s="53"/>
    </row>
    <row r="323">
      <c r="A323" s="53"/>
    </row>
    <row r="324">
      <c r="A324" s="53"/>
    </row>
    <row r="325">
      <c r="A325" s="53"/>
    </row>
    <row r="326">
      <c r="A326" s="53"/>
    </row>
    <row r="327">
      <c r="A327" s="53"/>
    </row>
    <row r="328">
      <c r="A328" s="53"/>
    </row>
    <row r="329">
      <c r="A329" s="53"/>
    </row>
    <row r="330">
      <c r="A330" s="53"/>
    </row>
    <row r="331">
      <c r="A331" s="53"/>
    </row>
    <row r="332">
      <c r="A332" s="53"/>
    </row>
    <row r="333">
      <c r="A333" s="53"/>
    </row>
    <row r="334">
      <c r="A334" s="53"/>
    </row>
    <row r="335">
      <c r="A335" s="53"/>
    </row>
    <row r="336">
      <c r="A336" s="53"/>
    </row>
    <row r="337">
      <c r="A337" s="53"/>
    </row>
    <row r="338">
      <c r="A338" s="53"/>
    </row>
    <row r="339">
      <c r="A339" s="53"/>
    </row>
    <row r="340">
      <c r="A340" s="53"/>
    </row>
    <row r="341">
      <c r="A341" s="53"/>
    </row>
    <row r="342">
      <c r="A342" s="53"/>
    </row>
    <row r="343">
      <c r="A343" s="53"/>
    </row>
    <row r="344">
      <c r="A344" s="53"/>
    </row>
    <row r="345">
      <c r="A345" s="53"/>
    </row>
    <row r="346">
      <c r="A346" s="53"/>
    </row>
    <row r="347">
      <c r="A347" s="53"/>
    </row>
    <row r="348">
      <c r="A348" s="53"/>
    </row>
    <row r="349">
      <c r="A349" s="53"/>
    </row>
    <row r="350">
      <c r="A350" s="53"/>
    </row>
    <row r="351">
      <c r="A351" s="53"/>
    </row>
    <row r="352">
      <c r="A352" s="53"/>
    </row>
    <row r="353">
      <c r="A353" s="53"/>
    </row>
    <row r="354">
      <c r="A354" s="53"/>
    </row>
    <row r="355">
      <c r="A355" s="53"/>
    </row>
    <row r="356">
      <c r="A356" s="53"/>
    </row>
    <row r="357">
      <c r="A357" s="53"/>
    </row>
    <row r="358">
      <c r="A358" s="53"/>
    </row>
    <row r="359">
      <c r="A359" s="53"/>
    </row>
    <row r="360">
      <c r="A360" s="53"/>
    </row>
    <row r="361">
      <c r="A361" s="53"/>
    </row>
    <row r="362">
      <c r="A362" s="53"/>
    </row>
    <row r="363">
      <c r="A363" s="53"/>
    </row>
    <row r="364">
      <c r="A364" s="53"/>
    </row>
    <row r="365">
      <c r="A365" s="53"/>
    </row>
    <row r="366">
      <c r="A366" s="53"/>
    </row>
    <row r="367">
      <c r="A367" s="53"/>
    </row>
    <row r="368">
      <c r="A368" s="53"/>
    </row>
    <row r="369">
      <c r="A369" s="53"/>
    </row>
    <row r="370">
      <c r="A370" s="53"/>
    </row>
    <row r="371">
      <c r="A371" s="53"/>
    </row>
    <row r="372">
      <c r="A372" s="53"/>
    </row>
    <row r="373">
      <c r="A373" s="53"/>
    </row>
    <row r="374">
      <c r="A374" s="53"/>
    </row>
    <row r="375">
      <c r="A375" s="53"/>
    </row>
    <row r="376">
      <c r="A376" s="53"/>
    </row>
    <row r="377">
      <c r="A377" s="53"/>
    </row>
    <row r="378">
      <c r="A378" s="53"/>
    </row>
    <row r="379">
      <c r="A379" s="53"/>
    </row>
    <row r="380">
      <c r="A380" s="53"/>
    </row>
    <row r="381">
      <c r="A381" s="53"/>
    </row>
    <row r="382">
      <c r="A382" s="53"/>
    </row>
    <row r="383">
      <c r="A383" s="53"/>
    </row>
    <row r="384">
      <c r="A384" s="53"/>
    </row>
    <row r="385">
      <c r="A385" s="53"/>
    </row>
    <row r="386">
      <c r="A386" s="53"/>
    </row>
    <row r="387">
      <c r="A387" s="53"/>
    </row>
    <row r="388">
      <c r="A388" s="53"/>
    </row>
    <row r="389">
      <c r="A389" s="53"/>
    </row>
    <row r="390">
      <c r="A390" s="53"/>
    </row>
    <row r="391">
      <c r="A391" s="53"/>
    </row>
    <row r="392">
      <c r="A392" s="53"/>
    </row>
    <row r="393">
      <c r="A393" s="53"/>
    </row>
    <row r="394">
      <c r="A394" s="53"/>
    </row>
    <row r="395">
      <c r="A395" s="53"/>
    </row>
    <row r="396">
      <c r="A396" s="53"/>
    </row>
    <row r="397">
      <c r="A397" s="53"/>
    </row>
    <row r="398">
      <c r="A398" s="53"/>
    </row>
    <row r="399">
      <c r="A399" s="53"/>
    </row>
    <row r="400">
      <c r="A400" s="53"/>
    </row>
    <row r="401">
      <c r="A401" s="53"/>
    </row>
    <row r="402">
      <c r="A402" s="53"/>
    </row>
    <row r="403">
      <c r="A403" s="53"/>
    </row>
    <row r="404">
      <c r="A404" s="53"/>
    </row>
    <row r="405">
      <c r="A405" s="53"/>
    </row>
    <row r="406">
      <c r="A406" s="53"/>
    </row>
    <row r="407">
      <c r="A407" s="53"/>
    </row>
    <row r="408">
      <c r="A408" s="53"/>
    </row>
    <row r="409">
      <c r="A409" s="53"/>
    </row>
    <row r="410">
      <c r="A410" s="53"/>
    </row>
    <row r="411">
      <c r="A411" s="53"/>
    </row>
    <row r="412">
      <c r="A412" s="53"/>
    </row>
    <row r="413">
      <c r="A413" s="53"/>
    </row>
    <row r="414">
      <c r="A414" s="53"/>
    </row>
    <row r="415">
      <c r="A415" s="53"/>
    </row>
    <row r="416">
      <c r="A416" s="53"/>
    </row>
    <row r="417">
      <c r="A417" s="53"/>
    </row>
    <row r="418">
      <c r="A418" s="53"/>
    </row>
    <row r="419">
      <c r="A419" s="53"/>
    </row>
    <row r="420">
      <c r="A420" s="53"/>
    </row>
    <row r="421">
      <c r="A421" s="53"/>
    </row>
    <row r="422">
      <c r="A422" s="53"/>
    </row>
    <row r="423">
      <c r="A423" s="53"/>
    </row>
    <row r="424">
      <c r="A424" s="53"/>
    </row>
    <row r="425">
      <c r="A425" s="53"/>
    </row>
    <row r="426">
      <c r="A426" s="53"/>
    </row>
    <row r="427">
      <c r="A427" s="53"/>
    </row>
    <row r="428">
      <c r="A428" s="53"/>
    </row>
    <row r="429">
      <c r="A429" s="53"/>
    </row>
    <row r="430">
      <c r="A430" s="53"/>
    </row>
    <row r="431">
      <c r="A431" s="53"/>
    </row>
    <row r="432">
      <c r="A432" s="53"/>
    </row>
    <row r="433">
      <c r="A433" s="53"/>
    </row>
    <row r="434">
      <c r="A434" s="53"/>
    </row>
    <row r="435">
      <c r="A435" s="53"/>
    </row>
    <row r="436">
      <c r="A436" s="53"/>
    </row>
    <row r="437">
      <c r="A437" s="53"/>
    </row>
    <row r="438">
      <c r="A438" s="53"/>
    </row>
    <row r="439">
      <c r="A439" s="53"/>
    </row>
    <row r="440">
      <c r="A440" s="53"/>
    </row>
    <row r="441">
      <c r="A441" s="53"/>
    </row>
    <row r="442">
      <c r="A442" s="53"/>
    </row>
    <row r="443">
      <c r="A443" s="53"/>
    </row>
    <row r="444">
      <c r="A444" s="53"/>
    </row>
    <row r="445">
      <c r="A445" s="53"/>
    </row>
    <row r="446">
      <c r="A446" s="53"/>
    </row>
    <row r="447">
      <c r="A447" s="53"/>
    </row>
    <row r="448">
      <c r="A448" s="53"/>
    </row>
    <row r="449">
      <c r="A449" s="53"/>
    </row>
    <row r="450">
      <c r="A450" s="53"/>
    </row>
    <row r="451">
      <c r="A451" s="53"/>
    </row>
    <row r="452">
      <c r="A452" s="53"/>
    </row>
    <row r="453">
      <c r="A453" s="53"/>
    </row>
    <row r="454">
      <c r="A454" s="53"/>
    </row>
    <row r="455">
      <c r="A455" s="53"/>
    </row>
    <row r="456">
      <c r="A456" s="53"/>
    </row>
    <row r="457">
      <c r="A457" s="53"/>
    </row>
    <row r="458">
      <c r="A458" s="53"/>
    </row>
    <row r="459">
      <c r="A459" s="53"/>
    </row>
    <row r="460">
      <c r="A460" s="53"/>
    </row>
    <row r="461">
      <c r="A461" s="53"/>
    </row>
    <row r="462">
      <c r="A462" s="53"/>
    </row>
    <row r="463">
      <c r="A463" s="53"/>
    </row>
    <row r="464">
      <c r="A464" s="53"/>
    </row>
    <row r="465">
      <c r="A465" s="53"/>
    </row>
    <row r="466">
      <c r="A466" s="53"/>
    </row>
    <row r="467">
      <c r="A467" s="53"/>
    </row>
    <row r="468">
      <c r="A468" s="53"/>
    </row>
    <row r="469">
      <c r="A469" s="53"/>
    </row>
    <row r="470">
      <c r="A470" s="53"/>
    </row>
    <row r="471">
      <c r="A471" s="53"/>
    </row>
    <row r="472">
      <c r="A472" s="53"/>
    </row>
    <row r="473">
      <c r="A473" s="53"/>
    </row>
    <row r="474">
      <c r="A474" s="53"/>
    </row>
    <row r="475">
      <c r="A475" s="53"/>
    </row>
    <row r="476">
      <c r="A476" s="53"/>
    </row>
    <row r="477">
      <c r="A477" s="53"/>
    </row>
    <row r="478">
      <c r="A478" s="53"/>
    </row>
    <row r="479">
      <c r="A479" s="53"/>
    </row>
    <row r="480">
      <c r="A480" s="53"/>
    </row>
    <row r="481">
      <c r="A481" s="53"/>
    </row>
    <row r="482">
      <c r="A482" s="53"/>
    </row>
    <row r="483">
      <c r="A483" s="53"/>
    </row>
    <row r="484">
      <c r="A484" s="53"/>
    </row>
    <row r="485">
      <c r="A485" s="53"/>
    </row>
    <row r="486">
      <c r="A486" s="53"/>
    </row>
    <row r="487">
      <c r="A487" s="53"/>
    </row>
    <row r="488">
      <c r="A488" s="53"/>
    </row>
    <row r="489">
      <c r="A489" s="53"/>
    </row>
    <row r="490">
      <c r="A490" s="53"/>
    </row>
    <row r="491">
      <c r="A491" s="53"/>
    </row>
    <row r="492">
      <c r="A492" s="53"/>
    </row>
    <row r="493">
      <c r="A493" s="53"/>
    </row>
    <row r="494">
      <c r="A494" s="53"/>
    </row>
    <row r="495">
      <c r="A495" s="53"/>
    </row>
    <row r="496">
      <c r="A496" s="53"/>
    </row>
    <row r="497">
      <c r="A497" s="53"/>
    </row>
    <row r="498">
      <c r="A498" s="53"/>
    </row>
    <row r="499">
      <c r="A499" s="53"/>
    </row>
    <row r="500">
      <c r="A500" s="53"/>
    </row>
    <row r="501">
      <c r="A501" s="53"/>
    </row>
    <row r="502">
      <c r="A502" s="53"/>
    </row>
    <row r="503">
      <c r="A503" s="53"/>
    </row>
    <row r="504">
      <c r="A504" s="53"/>
    </row>
    <row r="505">
      <c r="A505" s="53"/>
    </row>
    <row r="506">
      <c r="A506" s="53"/>
    </row>
    <row r="507">
      <c r="A507" s="53"/>
    </row>
    <row r="508">
      <c r="A508" s="53"/>
    </row>
    <row r="509">
      <c r="A509" s="53"/>
    </row>
    <row r="510">
      <c r="A510" s="53"/>
    </row>
    <row r="511">
      <c r="A511" s="53"/>
    </row>
    <row r="512">
      <c r="A512" s="53"/>
    </row>
    <row r="513">
      <c r="A513" s="53"/>
    </row>
    <row r="514">
      <c r="A514" s="53"/>
    </row>
    <row r="515">
      <c r="A515" s="53"/>
    </row>
    <row r="516">
      <c r="A516" s="53"/>
    </row>
    <row r="517">
      <c r="A517" s="53"/>
    </row>
    <row r="518">
      <c r="A518" s="53"/>
    </row>
    <row r="519">
      <c r="A519" s="53"/>
    </row>
    <row r="520">
      <c r="A520" s="53"/>
    </row>
    <row r="521">
      <c r="A521" s="53"/>
    </row>
    <row r="522">
      <c r="A522" s="53"/>
    </row>
    <row r="523">
      <c r="A523" s="53"/>
    </row>
    <row r="524">
      <c r="A524" s="53"/>
    </row>
    <row r="525">
      <c r="A525" s="53"/>
    </row>
    <row r="526">
      <c r="A526" s="53"/>
    </row>
    <row r="527">
      <c r="A527" s="53"/>
    </row>
    <row r="528">
      <c r="A528" s="53"/>
    </row>
    <row r="529">
      <c r="A529" s="53"/>
    </row>
    <row r="530">
      <c r="A530" s="53"/>
    </row>
    <row r="531">
      <c r="A531" s="53"/>
    </row>
    <row r="532">
      <c r="A532" s="53"/>
    </row>
    <row r="533">
      <c r="A533" s="53"/>
    </row>
    <row r="534">
      <c r="A534" s="53"/>
    </row>
    <row r="535">
      <c r="A535" s="53"/>
    </row>
    <row r="536">
      <c r="A536" s="53"/>
    </row>
    <row r="537">
      <c r="A537" s="53"/>
    </row>
    <row r="538">
      <c r="A538" s="53"/>
    </row>
    <row r="539">
      <c r="A539" s="53"/>
    </row>
    <row r="540">
      <c r="A540" s="53"/>
    </row>
    <row r="541">
      <c r="A541" s="53"/>
    </row>
    <row r="542">
      <c r="A542" s="53"/>
    </row>
    <row r="543">
      <c r="A543" s="53"/>
    </row>
    <row r="544">
      <c r="A544" s="53"/>
    </row>
    <row r="545">
      <c r="A545" s="53"/>
    </row>
    <row r="546">
      <c r="A546" s="53"/>
    </row>
    <row r="547">
      <c r="A547" s="53"/>
    </row>
    <row r="548">
      <c r="A548" s="53"/>
    </row>
    <row r="549">
      <c r="A549" s="53"/>
    </row>
    <row r="550">
      <c r="A550" s="53"/>
    </row>
    <row r="551">
      <c r="A551" s="53"/>
    </row>
    <row r="552">
      <c r="A552" s="53"/>
    </row>
    <row r="553">
      <c r="A553" s="53"/>
    </row>
    <row r="554">
      <c r="A554" s="53"/>
    </row>
    <row r="555">
      <c r="A555" s="53"/>
    </row>
    <row r="556">
      <c r="A556" s="53"/>
    </row>
    <row r="557">
      <c r="A557" s="53"/>
    </row>
    <row r="558">
      <c r="A558" s="53"/>
    </row>
    <row r="559">
      <c r="A559" s="53"/>
    </row>
    <row r="560">
      <c r="A560" s="53"/>
    </row>
    <row r="561">
      <c r="A561" s="53"/>
    </row>
    <row r="562">
      <c r="A562" s="53"/>
    </row>
    <row r="563">
      <c r="A563" s="53"/>
    </row>
    <row r="564">
      <c r="A564" s="53"/>
    </row>
    <row r="565">
      <c r="A565" s="53"/>
    </row>
    <row r="566">
      <c r="A566" s="53"/>
    </row>
    <row r="567">
      <c r="A567" s="53"/>
    </row>
    <row r="568">
      <c r="A568" s="53"/>
    </row>
    <row r="569">
      <c r="A569" s="53"/>
    </row>
    <row r="570">
      <c r="A570" s="53"/>
    </row>
    <row r="571">
      <c r="A571" s="53"/>
    </row>
    <row r="572">
      <c r="A572" s="53"/>
    </row>
    <row r="573">
      <c r="A573" s="53"/>
    </row>
    <row r="574">
      <c r="A574" s="53"/>
    </row>
    <row r="575">
      <c r="A575" s="53"/>
    </row>
    <row r="576">
      <c r="A576" s="53"/>
    </row>
    <row r="577">
      <c r="A577" s="53"/>
    </row>
    <row r="578">
      <c r="A578" s="53"/>
    </row>
    <row r="579">
      <c r="A579" s="53"/>
    </row>
    <row r="580">
      <c r="A580" s="53"/>
    </row>
    <row r="581">
      <c r="A581" s="53"/>
    </row>
    <row r="582">
      <c r="A582" s="53"/>
    </row>
    <row r="583">
      <c r="A583" s="53"/>
    </row>
    <row r="584">
      <c r="A584" s="53"/>
    </row>
    <row r="585">
      <c r="A585" s="53"/>
    </row>
    <row r="586">
      <c r="A586" s="53"/>
    </row>
    <row r="587">
      <c r="A587" s="53"/>
    </row>
    <row r="588">
      <c r="A588" s="53"/>
    </row>
    <row r="589">
      <c r="A589" s="53"/>
    </row>
    <row r="590">
      <c r="A590" s="53"/>
    </row>
    <row r="591">
      <c r="A591" s="53"/>
    </row>
    <row r="592">
      <c r="A592" s="53"/>
    </row>
    <row r="593">
      <c r="A593" s="53"/>
    </row>
    <row r="594">
      <c r="A594" s="53"/>
    </row>
    <row r="595">
      <c r="A595" s="53"/>
    </row>
    <row r="596">
      <c r="A596" s="53"/>
    </row>
    <row r="597">
      <c r="A597" s="53"/>
    </row>
    <row r="598">
      <c r="A598" s="53"/>
    </row>
    <row r="599">
      <c r="A599" s="53"/>
    </row>
    <row r="600">
      <c r="A600" s="53"/>
    </row>
    <row r="601">
      <c r="A601" s="53"/>
    </row>
    <row r="602">
      <c r="A602" s="53"/>
    </row>
    <row r="603">
      <c r="A603" s="53"/>
    </row>
    <row r="604">
      <c r="A604" s="53"/>
    </row>
    <row r="605">
      <c r="A605" s="53"/>
    </row>
    <row r="606">
      <c r="A606" s="53"/>
    </row>
    <row r="607">
      <c r="A607" s="53"/>
    </row>
    <row r="608">
      <c r="A608" s="53"/>
    </row>
    <row r="609">
      <c r="A609" s="53"/>
    </row>
    <row r="610">
      <c r="A610" s="53"/>
    </row>
    <row r="611">
      <c r="A611" s="53"/>
    </row>
    <row r="612">
      <c r="A612" s="53"/>
    </row>
    <row r="613">
      <c r="A613" s="53"/>
    </row>
    <row r="614">
      <c r="A614" s="53"/>
    </row>
    <row r="615">
      <c r="A615" s="53"/>
    </row>
    <row r="616">
      <c r="A616" s="53"/>
    </row>
    <row r="617">
      <c r="A617" s="53"/>
    </row>
    <row r="618">
      <c r="A618" s="53"/>
    </row>
    <row r="619">
      <c r="A619" s="53"/>
    </row>
    <row r="620">
      <c r="A620" s="53"/>
    </row>
    <row r="621">
      <c r="A621" s="53"/>
    </row>
    <row r="622">
      <c r="A622" s="53"/>
    </row>
    <row r="623">
      <c r="A623" s="53"/>
    </row>
    <row r="624">
      <c r="A624" s="53"/>
    </row>
    <row r="625">
      <c r="A625" s="53"/>
    </row>
    <row r="626">
      <c r="A626" s="53"/>
    </row>
    <row r="627">
      <c r="A627" s="53"/>
    </row>
    <row r="628">
      <c r="A628" s="53"/>
    </row>
    <row r="629">
      <c r="A629" s="53"/>
    </row>
    <row r="630">
      <c r="A630" s="53"/>
    </row>
    <row r="631">
      <c r="A631" s="53"/>
    </row>
    <row r="632">
      <c r="A632" s="53"/>
    </row>
    <row r="633">
      <c r="A633" s="53"/>
    </row>
    <row r="634">
      <c r="A634" s="53"/>
    </row>
    <row r="635">
      <c r="A635" s="53"/>
    </row>
    <row r="636">
      <c r="A636" s="53"/>
    </row>
    <row r="637">
      <c r="A637" s="53"/>
    </row>
    <row r="638">
      <c r="A638" s="53"/>
    </row>
    <row r="639">
      <c r="A639" s="53"/>
    </row>
    <row r="640">
      <c r="A640" s="53"/>
    </row>
    <row r="641">
      <c r="A641" s="53"/>
    </row>
    <row r="642">
      <c r="A642" s="53"/>
    </row>
    <row r="643">
      <c r="A643" s="53"/>
    </row>
    <row r="644">
      <c r="A644" s="53"/>
    </row>
    <row r="645">
      <c r="A645" s="53"/>
    </row>
    <row r="646">
      <c r="A646" s="53"/>
    </row>
    <row r="647">
      <c r="A647" s="53"/>
    </row>
    <row r="648">
      <c r="A648" s="53"/>
    </row>
    <row r="649">
      <c r="A649" s="53"/>
    </row>
    <row r="650">
      <c r="A650" s="53"/>
    </row>
    <row r="651">
      <c r="A651" s="53"/>
    </row>
    <row r="652">
      <c r="A652" s="53"/>
    </row>
    <row r="653">
      <c r="A653" s="53"/>
    </row>
    <row r="654">
      <c r="A654" s="53"/>
    </row>
    <row r="655">
      <c r="A655" s="53"/>
    </row>
    <row r="656">
      <c r="A656" s="53"/>
    </row>
    <row r="657">
      <c r="A657" s="53"/>
    </row>
    <row r="658">
      <c r="A658" s="53"/>
    </row>
    <row r="659">
      <c r="A659" s="53"/>
    </row>
    <row r="660">
      <c r="A660" s="53"/>
    </row>
    <row r="661">
      <c r="A661" s="53"/>
    </row>
    <row r="662">
      <c r="A662" s="53"/>
    </row>
    <row r="663">
      <c r="A663" s="53"/>
    </row>
    <row r="664">
      <c r="A664" s="53"/>
    </row>
    <row r="665">
      <c r="A665" s="53"/>
    </row>
    <row r="666">
      <c r="A666" s="53"/>
    </row>
    <row r="667">
      <c r="A667" s="53"/>
    </row>
    <row r="668">
      <c r="A668" s="53"/>
    </row>
    <row r="669">
      <c r="A669" s="53"/>
    </row>
    <row r="670">
      <c r="A670" s="53"/>
    </row>
    <row r="671">
      <c r="A671" s="53"/>
    </row>
    <row r="672">
      <c r="A672" s="53"/>
    </row>
    <row r="673">
      <c r="A673" s="53"/>
    </row>
    <row r="674">
      <c r="A674" s="53"/>
    </row>
    <row r="675">
      <c r="A675" s="53"/>
    </row>
    <row r="676">
      <c r="A676" s="53"/>
    </row>
    <row r="677">
      <c r="A677" s="53"/>
    </row>
    <row r="678">
      <c r="A678" s="53"/>
    </row>
    <row r="679">
      <c r="A679" s="53"/>
    </row>
    <row r="680">
      <c r="A680" s="53"/>
    </row>
    <row r="681">
      <c r="A681" s="53"/>
    </row>
    <row r="682">
      <c r="A682" s="53"/>
    </row>
    <row r="683">
      <c r="A683" s="53"/>
    </row>
    <row r="684">
      <c r="A684" s="53"/>
    </row>
    <row r="685">
      <c r="A685" s="53"/>
    </row>
    <row r="686">
      <c r="A686" s="53"/>
    </row>
    <row r="687">
      <c r="A687" s="53"/>
    </row>
    <row r="688">
      <c r="A688" s="53"/>
    </row>
    <row r="689">
      <c r="A689" s="53"/>
    </row>
    <row r="690">
      <c r="A690" s="53"/>
    </row>
    <row r="691">
      <c r="A691" s="53"/>
    </row>
    <row r="692">
      <c r="A692" s="53"/>
    </row>
    <row r="693">
      <c r="A693" s="53"/>
    </row>
    <row r="694">
      <c r="A694" s="53"/>
    </row>
    <row r="695">
      <c r="A695" s="53"/>
    </row>
    <row r="696">
      <c r="A696" s="53"/>
    </row>
    <row r="697">
      <c r="A697" s="53"/>
    </row>
    <row r="698">
      <c r="A698" s="53"/>
    </row>
    <row r="699">
      <c r="A699" s="53"/>
    </row>
    <row r="700">
      <c r="A700" s="53"/>
    </row>
    <row r="701">
      <c r="A701" s="53"/>
    </row>
    <row r="702">
      <c r="A702" s="53"/>
    </row>
    <row r="703">
      <c r="A703" s="53"/>
    </row>
    <row r="704">
      <c r="A704" s="53"/>
    </row>
    <row r="705">
      <c r="A705" s="53"/>
    </row>
    <row r="706">
      <c r="A706" s="53"/>
    </row>
    <row r="707">
      <c r="A707" s="53"/>
    </row>
    <row r="708">
      <c r="A708" s="53"/>
    </row>
    <row r="709">
      <c r="A709" s="53"/>
    </row>
    <row r="710">
      <c r="A710" s="53"/>
    </row>
    <row r="711">
      <c r="A711" s="53"/>
    </row>
    <row r="712">
      <c r="A712" s="53"/>
    </row>
    <row r="713">
      <c r="A713" s="53"/>
    </row>
    <row r="714">
      <c r="A714" s="53"/>
    </row>
    <row r="715">
      <c r="A715" s="53"/>
    </row>
    <row r="716">
      <c r="A716" s="53"/>
    </row>
    <row r="717">
      <c r="A717" s="53"/>
    </row>
    <row r="718">
      <c r="A718" s="53"/>
    </row>
    <row r="719">
      <c r="A719" s="53"/>
    </row>
    <row r="720">
      <c r="A720" s="53"/>
    </row>
    <row r="721">
      <c r="A721" s="53"/>
    </row>
    <row r="722">
      <c r="A722" s="53"/>
    </row>
    <row r="723">
      <c r="A723" s="53"/>
    </row>
    <row r="724">
      <c r="A724" s="53"/>
    </row>
    <row r="725">
      <c r="A725" s="53"/>
    </row>
    <row r="726">
      <c r="A726" s="53"/>
    </row>
    <row r="727">
      <c r="A727" s="53"/>
    </row>
    <row r="728">
      <c r="A728" s="53"/>
    </row>
    <row r="729">
      <c r="A729" s="53"/>
    </row>
    <row r="730">
      <c r="A730" s="53"/>
    </row>
    <row r="731">
      <c r="A731" s="53"/>
    </row>
    <row r="732">
      <c r="A732" s="53"/>
    </row>
    <row r="733">
      <c r="A733" s="53"/>
    </row>
    <row r="734">
      <c r="A734" s="53"/>
    </row>
    <row r="735">
      <c r="A735" s="53"/>
    </row>
    <row r="736">
      <c r="A736" s="53"/>
    </row>
    <row r="737">
      <c r="A737" s="53"/>
    </row>
    <row r="738">
      <c r="A738" s="53"/>
    </row>
    <row r="739">
      <c r="A739" s="53"/>
    </row>
    <row r="740">
      <c r="A740" s="53"/>
    </row>
    <row r="741">
      <c r="A741" s="53"/>
    </row>
    <row r="742">
      <c r="A742" s="53"/>
    </row>
    <row r="743">
      <c r="A743" s="53"/>
    </row>
    <row r="744">
      <c r="A744" s="53"/>
    </row>
    <row r="745">
      <c r="A745" s="53"/>
    </row>
    <row r="746">
      <c r="A746" s="53"/>
    </row>
    <row r="747">
      <c r="A747" s="53"/>
    </row>
    <row r="748">
      <c r="A748" s="53"/>
    </row>
    <row r="749">
      <c r="A749" s="53"/>
    </row>
    <row r="750">
      <c r="A750" s="53"/>
    </row>
    <row r="751">
      <c r="A751" s="53"/>
    </row>
    <row r="752">
      <c r="A752" s="53"/>
    </row>
    <row r="753">
      <c r="A753" s="53"/>
    </row>
    <row r="754">
      <c r="A754" s="53"/>
    </row>
    <row r="755">
      <c r="A755" s="53"/>
    </row>
    <row r="756">
      <c r="A756" s="53"/>
    </row>
    <row r="757">
      <c r="A757" s="53"/>
    </row>
    <row r="758">
      <c r="A758" s="53"/>
    </row>
    <row r="759">
      <c r="A759" s="53"/>
    </row>
    <row r="760">
      <c r="A760" s="53"/>
    </row>
    <row r="761">
      <c r="A761" s="53"/>
    </row>
    <row r="762">
      <c r="A762" s="53"/>
    </row>
    <row r="763">
      <c r="A763" s="53"/>
    </row>
    <row r="764">
      <c r="A764" s="53"/>
    </row>
    <row r="765">
      <c r="A765" s="53"/>
    </row>
    <row r="766">
      <c r="A766" s="53"/>
    </row>
    <row r="767">
      <c r="A767" s="53"/>
    </row>
    <row r="768">
      <c r="A768" s="53"/>
    </row>
    <row r="769">
      <c r="A769" s="53"/>
    </row>
    <row r="770">
      <c r="A770" s="53"/>
    </row>
    <row r="771">
      <c r="A771" s="53"/>
    </row>
    <row r="772">
      <c r="A772" s="53"/>
    </row>
    <row r="773">
      <c r="A773" s="53"/>
    </row>
    <row r="774">
      <c r="A774" s="53"/>
    </row>
    <row r="775">
      <c r="A775" s="53"/>
    </row>
    <row r="776">
      <c r="A776" s="53"/>
    </row>
    <row r="777">
      <c r="A777" s="53"/>
    </row>
    <row r="778">
      <c r="A778" s="53"/>
    </row>
    <row r="779">
      <c r="A779" s="53"/>
    </row>
    <row r="780">
      <c r="A780" s="53"/>
    </row>
    <row r="781">
      <c r="A781" s="53"/>
    </row>
    <row r="782">
      <c r="A782" s="53"/>
    </row>
    <row r="783">
      <c r="A783" s="53"/>
    </row>
    <row r="784">
      <c r="A784" s="53"/>
    </row>
    <row r="785">
      <c r="A785" s="53"/>
    </row>
    <row r="786">
      <c r="A786" s="53"/>
    </row>
    <row r="787">
      <c r="A787" s="53"/>
    </row>
    <row r="788">
      <c r="A788" s="53"/>
    </row>
    <row r="789">
      <c r="A789" s="53"/>
    </row>
    <row r="790">
      <c r="A790" s="53"/>
    </row>
    <row r="791">
      <c r="A791" s="53"/>
    </row>
    <row r="792">
      <c r="A792" s="53"/>
    </row>
    <row r="793">
      <c r="A793" s="53"/>
    </row>
    <row r="794">
      <c r="A794" s="53"/>
    </row>
    <row r="795">
      <c r="A795" s="53"/>
    </row>
    <row r="796">
      <c r="A796" s="53"/>
    </row>
    <row r="797">
      <c r="A797" s="53"/>
    </row>
    <row r="798">
      <c r="A798" s="53"/>
    </row>
    <row r="799">
      <c r="A799" s="53"/>
    </row>
    <row r="800">
      <c r="A800" s="53"/>
    </row>
    <row r="801">
      <c r="A801" s="53"/>
    </row>
    <row r="802">
      <c r="A802" s="53"/>
    </row>
    <row r="803">
      <c r="A803" s="53"/>
    </row>
    <row r="804">
      <c r="A804" s="53"/>
    </row>
    <row r="805">
      <c r="A805" s="53"/>
    </row>
    <row r="806">
      <c r="A806" s="53"/>
    </row>
    <row r="807">
      <c r="A807" s="53"/>
    </row>
    <row r="808">
      <c r="A808" s="53"/>
    </row>
    <row r="809">
      <c r="A809" s="53"/>
    </row>
    <row r="810">
      <c r="A810" s="53"/>
    </row>
    <row r="811">
      <c r="A811" s="53"/>
    </row>
    <row r="812">
      <c r="A812" s="53"/>
    </row>
    <row r="813">
      <c r="A813" s="53"/>
    </row>
    <row r="814">
      <c r="A814" s="53"/>
    </row>
    <row r="815">
      <c r="A815" s="53"/>
    </row>
    <row r="816">
      <c r="A816" s="53"/>
    </row>
    <row r="817">
      <c r="A817" s="53"/>
    </row>
    <row r="818">
      <c r="A818" s="53"/>
    </row>
    <row r="819">
      <c r="A819" s="53"/>
    </row>
    <row r="820">
      <c r="A820" s="53"/>
    </row>
    <row r="821">
      <c r="A821" s="53"/>
    </row>
    <row r="822">
      <c r="A822" s="53"/>
    </row>
    <row r="823">
      <c r="A823" s="53"/>
    </row>
    <row r="824">
      <c r="A824" s="53"/>
    </row>
    <row r="825">
      <c r="A825" s="53"/>
    </row>
    <row r="826">
      <c r="A826" s="53"/>
    </row>
    <row r="827">
      <c r="A827" s="53"/>
    </row>
    <row r="828">
      <c r="A828" s="53"/>
    </row>
    <row r="829">
      <c r="A829" s="53"/>
    </row>
    <row r="830">
      <c r="A830" s="53"/>
    </row>
    <row r="831">
      <c r="A831" s="53"/>
    </row>
    <row r="832">
      <c r="A832" s="53"/>
    </row>
    <row r="833">
      <c r="A833" s="53"/>
    </row>
    <row r="834">
      <c r="A834" s="53"/>
    </row>
    <row r="835">
      <c r="A835" s="53"/>
    </row>
    <row r="836">
      <c r="A836" s="53"/>
    </row>
    <row r="837">
      <c r="A837" s="53"/>
    </row>
    <row r="838">
      <c r="A838" s="53"/>
    </row>
    <row r="839">
      <c r="A839" s="53"/>
    </row>
    <row r="840">
      <c r="A840" s="53"/>
    </row>
    <row r="841">
      <c r="A841" s="53"/>
    </row>
    <row r="842">
      <c r="A842" s="53"/>
    </row>
    <row r="843">
      <c r="A843" s="53"/>
    </row>
    <row r="844">
      <c r="A844" s="53"/>
    </row>
    <row r="845">
      <c r="A845" s="53"/>
    </row>
    <row r="846">
      <c r="A846" s="53"/>
    </row>
    <row r="847">
      <c r="A847" s="53"/>
    </row>
    <row r="848">
      <c r="A848" s="53"/>
    </row>
    <row r="849">
      <c r="A849" s="53"/>
    </row>
    <row r="850">
      <c r="A850" s="53"/>
    </row>
    <row r="851">
      <c r="A851" s="53"/>
    </row>
    <row r="852">
      <c r="A852" s="53"/>
    </row>
    <row r="853">
      <c r="A853" s="53"/>
    </row>
    <row r="854">
      <c r="A854" s="53"/>
    </row>
    <row r="855">
      <c r="A855" s="53"/>
    </row>
    <row r="856">
      <c r="A856" s="53"/>
    </row>
    <row r="857">
      <c r="A857" s="53"/>
    </row>
    <row r="858">
      <c r="A858" s="53"/>
    </row>
    <row r="859">
      <c r="A859" s="53"/>
    </row>
    <row r="860">
      <c r="A860" s="53"/>
    </row>
    <row r="861">
      <c r="A861" s="53"/>
    </row>
    <row r="862">
      <c r="A862" s="53"/>
    </row>
    <row r="863">
      <c r="A863" s="53"/>
    </row>
    <row r="864">
      <c r="A864" s="53"/>
    </row>
    <row r="865">
      <c r="A865" s="53"/>
    </row>
    <row r="866">
      <c r="A866" s="53"/>
    </row>
    <row r="867">
      <c r="A867" s="53"/>
    </row>
    <row r="868">
      <c r="A868" s="53"/>
    </row>
    <row r="869">
      <c r="A869" s="53"/>
    </row>
    <row r="870">
      <c r="A870" s="53"/>
    </row>
    <row r="871">
      <c r="A871" s="53"/>
    </row>
    <row r="872">
      <c r="A872" s="53"/>
    </row>
    <row r="873">
      <c r="A873" s="53"/>
    </row>
    <row r="874">
      <c r="A874" s="53"/>
    </row>
    <row r="875">
      <c r="A875" s="53"/>
    </row>
    <row r="876">
      <c r="A876" s="53"/>
    </row>
    <row r="877">
      <c r="A877" s="53"/>
    </row>
    <row r="878">
      <c r="A878" s="53"/>
    </row>
    <row r="879">
      <c r="A879" s="53"/>
    </row>
    <row r="880">
      <c r="A880" s="53"/>
    </row>
    <row r="881">
      <c r="A881" s="53"/>
    </row>
    <row r="882">
      <c r="A882" s="53"/>
    </row>
    <row r="883">
      <c r="A883" s="53"/>
    </row>
    <row r="884">
      <c r="A884" s="53"/>
    </row>
    <row r="885">
      <c r="A885" s="53"/>
    </row>
    <row r="886">
      <c r="A886" s="53"/>
    </row>
    <row r="887">
      <c r="A887" s="53"/>
    </row>
    <row r="888">
      <c r="A888" s="53"/>
    </row>
    <row r="889">
      <c r="A889" s="53"/>
    </row>
    <row r="890">
      <c r="A890" s="53"/>
    </row>
    <row r="891">
      <c r="A891" s="53"/>
    </row>
    <row r="892">
      <c r="A892" s="53"/>
    </row>
    <row r="893">
      <c r="A893" s="53"/>
    </row>
    <row r="894">
      <c r="A894" s="53"/>
    </row>
    <row r="895">
      <c r="A895" s="53"/>
    </row>
    <row r="896">
      <c r="A896" s="53"/>
    </row>
    <row r="897">
      <c r="A897" s="53"/>
    </row>
    <row r="898">
      <c r="A898" s="53"/>
    </row>
    <row r="899">
      <c r="A899" s="53"/>
    </row>
    <row r="900">
      <c r="A900" s="53"/>
    </row>
    <row r="901">
      <c r="A901" s="53"/>
    </row>
    <row r="902">
      <c r="A902" s="53"/>
    </row>
    <row r="903">
      <c r="A903" s="53"/>
    </row>
    <row r="904">
      <c r="A904" s="53"/>
    </row>
    <row r="905">
      <c r="A905" s="53"/>
    </row>
    <row r="906">
      <c r="A906" s="53"/>
    </row>
    <row r="907">
      <c r="A907" s="53"/>
    </row>
    <row r="908">
      <c r="A908" s="53"/>
    </row>
    <row r="909">
      <c r="A909" s="53"/>
    </row>
    <row r="910">
      <c r="A910" s="53"/>
    </row>
    <row r="911">
      <c r="A911" s="53"/>
    </row>
    <row r="912">
      <c r="A912" s="53"/>
    </row>
    <row r="913">
      <c r="A913" s="53"/>
    </row>
    <row r="914">
      <c r="A914" s="53"/>
    </row>
    <row r="915">
      <c r="A915" s="53"/>
    </row>
    <row r="916">
      <c r="A916" s="53"/>
    </row>
    <row r="917">
      <c r="A917" s="53"/>
    </row>
    <row r="918">
      <c r="A918" s="53"/>
    </row>
    <row r="919">
      <c r="A919" s="53"/>
    </row>
    <row r="920">
      <c r="A920" s="53"/>
    </row>
    <row r="921">
      <c r="A921" s="53"/>
    </row>
    <row r="922">
      <c r="A922" s="53"/>
    </row>
    <row r="923">
      <c r="A923" s="53"/>
    </row>
    <row r="924">
      <c r="A924" s="53"/>
    </row>
    <row r="925">
      <c r="A925" s="53"/>
    </row>
    <row r="926">
      <c r="A926" s="53"/>
    </row>
    <row r="927">
      <c r="A927" s="53"/>
    </row>
    <row r="928">
      <c r="A928" s="53"/>
    </row>
    <row r="929">
      <c r="A929" s="53"/>
    </row>
    <row r="930">
      <c r="A930" s="53"/>
    </row>
    <row r="931">
      <c r="A931" s="53"/>
    </row>
    <row r="932">
      <c r="A932" s="53"/>
    </row>
    <row r="933">
      <c r="A933" s="53"/>
    </row>
    <row r="934">
      <c r="A934" s="53"/>
    </row>
    <row r="935">
      <c r="A935" s="53"/>
    </row>
    <row r="936">
      <c r="A936" s="53"/>
    </row>
    <row r="937">
      <c r="A937" s="53"/>
    </row>
    <row r="938">
      <c r="A938" s="53"/>
    </row>
    <row r="939">
      <c r="A939" s="53"/>
    </row>
    <row r="940">
      <c r="A940" s="53"/>
    </row>
    <row r="941">
      <c r="A941" s="53"/>
    </row>
    <row r="942">
      <c r="A942" s="53"/>
    </row>
    <row r="943">
      <c r="A943" s="53"/>
    </row>
    <row r="944">
      <c r="A944" s="53"/>
    </row>
    <row r="945">
      <c r="A945" s="53"/>
    </row>
    <row r="946">
      <c r="A946" s="53"/>
    </row>
    <row r="947">
      <c r="A947" s="53"/>
    </row>
    <row r="948">
      <c r="A948" s="53"/>
    </row>
    <row r="949">
      <c r="A949" s="53"/>
    </row>
    <row r="950">
      <c r="A950" s="53"/>
    </row>
    <row r="951">
      <c r="A951" s="53"/>
    </row>
    <row r="952">
      <c r="A952" s="53"/>
    </row>
    <row r="953">
      <c r="A953" s="53"/>
    </row>
    <row r="954">
      <c r="A954" s="53"/>
    </row>
    <row r="955">
      <c r="A955" s="53"/>
    </row>
    <row r="956">
      <c r="A956" s="53"/>
    </row>
    <row r="957">
      <c r="A957" s="53"/>
    </row>
    <row r="958">
      <c r="A958" s="53"/>
    </row>
    <row r="959">
      <c r="A959" s="53"/>
    </row>
    <row r="960">
      <c r="A960" s="53"/>
    </row>
    <row r="961">
      <c r="A961" s="53"/>
    </row>
    <row r="962">
      <c r="A962" s="53"/>
    </row>
    <row r="963">
      <c r="A963" s="53"/>
    </row>
    <row r="964">
      <c r="A964" s="53"/>
    </row>
    <row r="965">
      <c r="A965" s="53"/>
    </row>
    <row r="966">
      <c r="A966" s="53"/>
    </row>
    <row r="967">
      <c r="A967" s="53"/>
    </row>
    <row r="968">
      <c r="A968" s="53"/>
    </row>
    <row r="969">
      <c r="A969" s="53"/>
    </row>
    <row r="970">
      <c r="A970" s="53"/>
    </row>
    <row r="971">
      <c r="A971" s="53"/>
    </row>
    <row r="972">
      <c r="A972" s="53"/>
    </row>
    <row r="973">
      <c r="A973" s="53"/>
    </row>
    <row r="974">
      <c r="A974" s="53"/>
    </row>
    <row r="975">
      <c r="A975" s="53"/>
    </row>
    <row r="976">
      <c r="A976" s="53"/>
    </row>
    <row r="977">
      <c r="A977" s="53"/>
    </row>
    <row r="978">
      <c r="A978" s="53"/>
    </row>
    <row r="979">
      <c r="A979" s="53"/>
    </row>
    <row r="980">
      <c r="A980" s="53"/>
    </row>
    <row r="981">
      <c r="A981" s="53"/>
    </row>
    <row r="982">
      <c r="A982" s="53"/>
    </row>
    <row r="983">
      <c r="A983" s="53"/>
    </row>
    <row r="984">
      <c r="A984" s="53"/>
    </row>
    <row r="985">
      <c r="A985" s="53"/>
    </row>
    <row r="986">
      <c r="A986" s="53"/>
    </row>
    <row r="987">
      <c r="A987" s="53"/>
    </row>
    <row r="988">
      <c r="A988" s="53"/>
    </row>
    <row r="989">
      <c r="A989" s="53"/>
    </row>
    <row r="990">
      <c r="A990" s="53"/>
    </row>
    <row r="991">
      <c r="A991" s="53"/>
    </row>
    <row r="992">
      <c r="A992" s="53"/>
    </row>
    <row r="993">
      <c r="A993" s="53"/>
    </row>
    <row r="994">
      <c r="A994" s="53"/>
    </row>
    <row r="995">
      <c r="A995" s="53"/>
    </row>
    <row r="996">
      <c r="A996" s="53"/>
    </row>
    <row r="997">
      <c r="A997" s="53"/>
    </row>
    <row r="998">
      <c r="A998" s="53"/>
    </row>
    <row r="999">
      <c r="A999" s="53"/>
    </row>
    <row r="1000">
      <c r="A1000" s="53"/>
    </row>
    <row r="1001">
      <c r="A1001" s="5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5.13"/>
    <col customWidth="1" min="8" max="9" width="6.13"/>
  </cols>
  <sheetData>
    <row r="1">
      <c r="A1" s="1" t="s">
        <v>1390</v>
      </c>
      <c r="B1" s="1" t="s">
        <v>1394</v>
      </c>
      <c r="C1" s="1" t="s">
        <v>1867</v>
      </c>
      <c r="D1" s="60" t="s">
        <v>1868</v>
      </c>
      <c r="E1" s="60" t="s">
        <v>1871</v>
      </c>
      <c r="F1" s="61" t="s">
        <v>1873</v>
      </c>
      <c r="G1" s="60" t="s">
        <v>1405</v>
      </c>
      <c r="H1" s="62" t="s">
        <v>1878</v>
      </c>
      <c r="I1" s="63" t="s">
        <v>1408</v>
      </c>
      <c r="J1" s="36" t="s">
        <v>1410</v>
      </c>
      <c r="K1" s="36" t="s">
        <v>673</v>
      </c>
    </row>
    <row r="2">
      <c r="A2" s="42" t="s">
        <v>1411</v>
      </c>
      <c r="B2" s="1" t="s">
        <v>1412</v>
      </c>
      <c r="C2" s="1">
        <v>6.0</v>
      </c>
      <c r="D2" s="60">
        <v>100.0</v>
      </c>
      <c r="E2" s="60">
        <v>100.0</v>
      </c>
      <c r="F2" s="60">
        <v>100.0</v>
      </c>
      <c r="G2" s="60" t="s">
        <v>1416</v>
      </c>
      <c r="H2" s="62">
        <v>1.0</v>
      </c>
      <c r="I2" s="63" t="s">
        <v>1416</v>
      </c>
      <c r="J2" s="43"/>
      <c r="K2" s="43"/>
    </row>
    <row r="3">
      <c r="A3" s="38" t="s">
        <v>1426</v>
      </c>
      <c r="B3" s="1" t="s">
        <v>1428</v>
      </c>
      <c r="C3" s="1" t="s">
        <v>1416</v>
      </c>
      <c r="D3" s="64">
        <v>96.89</v>
      </c>
      <c r="E3" s="60">
        <v>99.1</v>
      </c>
      <c r="F3" s="64">
        <v>96.35</v>
      </c>
      <c r="G3" s="60" t="s">
        <v>1416</v>
      </c>
      <c r="H3" s="62">
        <v>0.977</v>
      </c>
      <c r="I3" s="63" t="s">
        <v>1416</v>
      </c>
      <c r="J3" s="43"/>
      <c r="K3" s="43"/>
    </row>
    <row r="4">
      <c r="B4" s="1" t="s">
        <v>1433</v>
      </c>
      <c r="C4" s="1" t="s">
        <v>1416</v>
      </c>
      <c r="D4" s="64">
        <v>97.69</v>
      </c>
      <c r="E4" s="60">
        <v>98.15</v>
      </c>
      <c r="F4" s="64">
        <v>98.54</v>
      </c>
      <c r="G4" s="60" t="s">
        <v>1416</v>
      </c>
      <c r="H4" s="62">
        <v>0.9833</v>
      </c>
      <c r="I4" s="63" t="s">
        <v>1416</v>
      </c>
      <c r="J4" s="43"/>
      <c r="K4" s="43"/>
    </row>
    <row r="5">
      <c r="B5" s="1" t="s">
        <v>1435</v>
      </c>
      <c r="C5" s="1" t="s">
        <v>1416</v>
      </c>
      <c r="D5" s="64">
        <v>96.59</v>
      </c>
      <c r="E5" s="64">
        <v>97.85</v>
      </c>
      <c r="F5" s="64">
        <v>97.23</v>
      </c>
      <c r="G5" s="60" t="s">
        <v>1416</v>
      </c>
      <c r="H5" s="62">
        <v>0.9751</v>
      </c>
      <c r="I5" s="63" t="s">
        <v>1416</v>
      </c>
      <c r="J5" s="43"/>
      <c r="K5" s="43"/>
    </row>
    <row r="6">
      <c r="B6" s="45" t="s">
        <v>1443</v>
      </c>
      <c r="C6" s="1" t="s">
        <v>1416</v>
      </c>
      <c r="D6" s="65">
        <v>99.0</v>
      </c>
      <c r="E6" s="64">
        <v>99.86</v>
      </c>
      <c r="F6" s="60">
        <v>98.69</v>
      </c>
      <c r="G6" s="60" t="s">
        <v>1416</v>
      </c>
      <c r="H6" s="62">
        <v>0.9926</v>
      </c>
      <c r="I6" s="63" t="s">
        <v>1416</v>
      </c>
      <c r="J6" s="43"/>
      <c r="K6" s="43"/>
    </row>
    <row r="7">
      <c r="B7" s="45" t="s">
        <v>1444</v>
      </c>
      <c r="C7" s="1" t="s">
        <v>1416</v>
      </c>
      <c r="D7" s="64">
        <v>99.05</v>
      </c>
      <c r="E7" s="60">
        <v>99.86</v>
      </c>
      <c r="F7" s="64">
        <v>98.76</v>
      </c>
      <c r="G7" s="60" t="s">
        <v>1416</v>
      </c>
      <c r="H7" s="62">
        <v>0.993</v>
      </c>
      <c r="I7" s="63" t="s">
        <v>1416</v>
      </c>
      <c r="J7" s="43"/>
      <c r="K7" s="43"/>
    </row>
    <row r="8">
      <c r="B8" s="45" t="s">
        <v>1449</v>
      </c>
      <c r="C8" s="1" t="s">
        <v>1416</v>
      </c>
      <c r="D8" s="64">
        <v>99.7</v>
      </c>
      <c r="E8" s="64">
        <v>99.78</v>
      </c>
      <c r="F8" s="64">
        <v>99.78</v>
      </c>
      <c r="G8" s="60" t="s">
        <v>1416</v>
      </c>
      <c r="H8" s="62">
        <v>0.9978</v>
      </c>
      <c r="I8" s="63" t="s">
        <v>1416</v>
      </c>
      <c r="J8" s="43"/>
      <c r="K8" s="43"/>
    </row>
    <row r="9">
      <c r="A9" s="38" t="s">
        <v>1450</v>
      </c>
      <c r="B9" s="1" t="s">
        <v>1451</v>
      </c>
      <c r="C9" s="1" t="s">
        <v>1416</v>
      </c>
      <c r="D9" s="60">
        <v>87.5</v>
      </c>
      <c r="E9" s="60" t="s">
        <v>1416</v>
      </c>
      <c r="F9" s="60" t="s">
        <v>1416</v>
      </c>
      <c r="G9" s="60" t="s">
        <v>1416</v>
      </c>
      <c r="H9" s="62" t="s">
        <v>1416</v>
      </c>
      <c r="I9" s="63" t="s">
        <v>1416</v>
      </c>
      <c r="J9" s="36" t="s">
        <v>1454</v>
      </c>
      <c r="K9" s="43"/>
    </row>
    <row r="10">
      <c r="B10" s="1" t="s">
        <v>1458</v>
      </c>
      <c r="C10" s="1" t="s">
        <v>1416</v>
      </c>
      <c r="D10" s="60">
        <v>72.91</v>
      </c>
      <c r="E10" s="60" t="s">
        <v>1416</v>
      </c>
      <c r="F10" s="60" t="s">
        <v>1416</v>
      </c>
      <c r="G10" s="60" t="s">
        <v>1416</v>
      </c>
      <c r="H10" s="62" t="s">
        <v>1416</v>
      </c>
      <c r="I10" s="63" t="s">
        <v>1416</v>
      </c>
      <c r="J10" s="36" t="s">
        <v>1454</v>
      </c>
      <c r="K10" s="43"/>
    </row>
    <row r="11">
      <c r="B11" s="1" t="s">
        <v>1464</v>
      </c>
      <c r="C11" s="1" t="s">
        <v>1416</v>
      </c>
      <c r="D11" s="60">
        <v>75.0</v>
      </c>
      <c r="E11" s="60" t="s">
        <v>1416</v>
      </c>
      <c r="F11" s="60" t="s">
        <v>1416</v>
      </c>
      <c r="G11" s="60" t="s">
        <v>1416</v>
      </c>
      <c r="H11" s="62" t="s">
        <v>1416</v>
      </c>
      <c r="I11" s="63" t="s">
        <v>1416</v>
      </c>
      <c r="J11" s="36" t="s">
        <v>1454</v>
      </c>
      <c r="K11" s="43"/>
    </row>
    <row r="12">
      <c r="A12" s="1" t="s">
        <v>1467</v>
      </c>
      <c r="B12" s="1" t="s">
        <v>1468</v>
      </c>
      <c r="C12" s="1" t="s">
        <v>1416</v>
      </c>
      <c r="D12" s="60">
        <v>88.92</v>
      </c>
      <c r="E12" s="60" t="s">
        <v>1416</v>
      </c>
      <c r="F12" s="60" t="s">
        <v>1416</v>
      </c>
      <c r="G12" s="60" t="s">
        <v>1416</v>
      </c>
      <c r="H12" s="62" t="s">
        <v>1416</v>
      </c>
      <c r="I12" s="63" t="s">
        <v>1416</v>
      </c>
      <c r="J12" s="36" t="s">
        <v>1454</v>
      </c>
      <c r="K12" s="43"/>
    </row>
    <row r="13">
      <c r="A13" s="38" t="s">
        <v>1469</v>
      </c>
      <c r="B13" s="1" t="s">
        <v>1470</v>
      </c>
      <c r="C13" s="1" t="s">
        <v>1416</v>
      </c>
      <c r="D13" s="60">
        <v>94.42</v>
      </c>
      <c r="E13" s="60">
        <v>94.99</v>
      </c>
      <c r="F13" s="60">
        <v>94.42</v>
      </c>
      <c r="G13" s="60" t="s">
        <v>1416</v>
      </c>
      <c r="H13" s="62">
        <v>0.9449</v>
      </c>
      <c r="I13" s="63" t="s">
        <v>1416</v>
      </c>
      <c r="J13" s="43"/>
      <c r="K13" s="43"/>
    </row>
    <row r="14">
      <c r="B14" s="1" t="s">
        <v>1473</v>
      </c>
      <c r="C14" s="1" t="s">
        <v>1416</v>
      </c>
      <c r="D14" s="60">
        <v>97.03</v>
      </c>
      <c r="E14" s="60">
        <v>97.41</v>
      </c>
      <c r="F14" s="60">
        <v>97.03</v>
      </c>
      <c r="G14" s="60" t="s">
        <v>1416</v>
      </c>
      <c r="H14" s="62">
        <v>0.9705</v>
      </c>
      <c r="I14" s="63" t="s">
        <v>1416</v>
      </c>
      <c r="J14" s="43"/>
      <c r="K14" s="43"/>
    </row>
    <row r="15">
      <c r="A15" s="1" t="s">
        <v>1481</v>
      </c>
      <c r="B15" s="1" t="s">
        <v>1483</v>
      </c>
      <c r="C15" s="1">
        <v>126.0</v>
      </c>
      <c r="D15" s="60" t="s">
        <v>1416</v>
      </c>
      <c r="E15" s="60" t="s">
        <v>1416</v>
      </c>
      <c r="F15" s="60" t="s">
        <v>1416</v>
      </c>
      <c r="G15" s="60" t="s">
        <v>1416</v>
      </c>
      <c r="H15" s="62" t="s">
        <v>1416</v>
      </c>
      <c r="I15" s="62">
        <v>0.9189</v>
      </c>
      <c r="J15" s="36" t="s">
        <v>1454</v>
      </c>
      <c r="K15" s="43"/>
    </row>
    <row r="16">
      <c r="A16" s="1" t="s">
        <v>1490</v>
      </c>
      <c r="B16" s="1" t="s">
        <v>1492</v>
      </c>
      <c r="D16" s="60">
        <v>98.76</v>
      </c>
      <c r="E16" s="60">
        <v>100.0</v>
      </c>
      <c r="F16" s="60">
        <v>91.42</v>
      </c>
      <c r="G16" s="66"/>
      <c r="H16" s="62">
        <v>0.955</v>
      </c>
      <c r="I16" s="63" t="s">
        <v>1416</v>
      </c>
      <c r="J16" s="43"/>
      <c r="K16" s="43"/>
    </row>
    <row r="17">
      <c r="A17" s="1" t="s">
        <v>1500</v>
      </c>
      <c r="B17" s="1" t="s">
        <v>1503</v>
      </c>
      <c r="C17" s="1" t="s">
        <v>1416</v>
      </c>
      <c r="D17" s="60" t="s">
        <v>1416</v>
      </c>
      <c r="E17" s="60" t="s">
        <v>1416</v>
      </c>
      <c r="F17" s="60" t="s">
        <v>1416</v>
      </c>
      <c r="G17" s="60">
        <v>85.0</v>
      </c>
      <c r="H17" s="62" t="s">
        <v>1416</v>
      </c>
      <c r="I17" s="63" t="s">
        <v>1416</v>
      </c>
      <c r="J17" s="36" t="s">
        <v>1454</v>
      </c>
      <c r="K17" s="36" t="s">
        <v>1906</v>
      </c>
    </row>
    <row r="18">
      <c r="A18" s="1" t="s">
        <v>1510</v>
      </c>
      <c r="B18" s="1" t="s">
        <v>1511</v>
      </c>
      <c r="C18" s="1">
        <v>1.59</v>
      </c>
      <c r="D18" s="60" t="s">
        <v>1416</v>
      </c>
      <c r="E18" s="60">
        <v>78.0</v>
      </c>
      <c r="F18" s="60">
        <v>79.0</v>
      </c>
      <c r="G18" s="60" t="s">
        <v>1416</v>
      </c>
      <c r="H18" s="62">
        <v>0.784</v>
      </c>
      <c r="I18" s="63" t="s">
        <v>1416</v>
      </c>
      <c r="J18" s="36" t="s">
        <v>1454</v>
      </c>
      <c r="K18" s="36" t="s">
        <v>1907</v>
      </c>
    </row>
    <row r="19">
      <c r="D19" s="66"/>
      <c r="E19" s="66"/>
      <c r="F19" s="66"/>
      <c r="G19" s="66"/>
      <c r="H19" s="69"/>
      <c r="I19" s="69"/>
    </row>
    <row r="20">
      <c r="D20" s="66"/>
      <c r="E20" s="66"/>
      <c r="F20" s="66"/>
      <c r="G20" s="66"/>
      <c r="H20" s="69"/>
      <c r="I20" s="69"/>
    </row>
    <row r="21">
      <c r="D21" s="66"/>
      <c r="E21" s="66"/>
      <c r="F21" s="66"/>
      <c r="G21" s="66"/>
      <c r="H21" s="69"/>
      <c r="I21" s="69"/>
    </row>
    <row r="22">
      <c r="D22" s="66"/>
      <c r="E22" s="66"/>
      <c r="F22" s="66"/>
      <c r="G22" s="66"/>
      <c r="H22" s="69"/>
      <c r="I22" s="69"/>
    </row>
    <row r="23">
      <c r="D23" s="66"/>
      <c r="E23" s="66"/>
      <c r="F23" s="66"/>
      <c r="G23" s="66"/>
      <c r="H23" s="69"/>
      <c r="I23" s="69"/>
    </row>
    <row r="24">
      <c r="D24" s="66"/>
      <c r="E24" s="66"/>
      <c r="F24" s="66"/>
      <c r="G24" s="66"/>
      <c r="H24" s="69"/>
      <c r="I24" s="69"/>
    </row>
    <row r="25">
      <c r="D25" s="66"/>
      <c r="E25" s="66"/>
      <c r="F25" s="66"/>
      <c r="G25" s="66"/>
      <c r="H25" s="69"/>
      <c r="I25" s="69"/>
    </row>
    <row r="26">
      <c r="D26" s="66"/>
      <c r="E26" s="66"/>
      <c r="F26" s="66"/>
      <c r="G26" s="66"/>
      <c r="H26" s="69"/>
      <c r="I26" s="69"/>
    </row>
    <row r="27">
      <c r="D27" s="66"/>
      <c r="E27" s="66"/>
      <c r="F27" s="66"/>
      <c r="G27" s="66"/>
      <c r="H27" s="69"/>
      <c r="I27" s="69"/>
    </row>
    <row r="28">
      <c r="D28" s="66"/>
      <c r="E28" s="66"/>
      <c r="F28" s="66"/>
      <c r="G28" s="66"/>
      <c r="H28" s="69"/>
      <c r="I28" s="69"/>
    </row>
    <row r="29">
      <c r="D29" s="66"/>
      <c r="E29" s="66"/>
      <c r="F29" s="66"/>
      <c r="G29" s="66"/>
      <c r="H29" s="69"/>
      <c r="I29" s="69"/>
    </row>
    <row r="30">
      <c r="D30" s="66"/>
      <c r="E30" s="66"/>
      <c r="F30" s="66"/>
      <c r="G30" s="66"/>
      <c r="H30" s="69"/>
      <c r="I30" s="69"/>
    </row>
    <row r="31">
      <c r="D31" s="66"/>
      <c r="E31" s="66"/>
      <c r="F31" s="66"/>
      <c r="G31" s="66"/>
      <c r="H31" s="69"/>
      <c r="I31" s="69"/>
    </row>
    <row r="32">
      <c r="D32" s="66"/>
      <c r="E32" s="66"/>
      <c r="F32" s="66"/>
      <c r="G32" s="66"/>
      <c r="H32" s="69"/>
      <c r="I32" s="69"/>
    </row>
    <row r="33">
      <c r="D33" s="66"/>
      <c r="E33" s="66"/>
      <c r="F33" s="66"/>
      <c r="G33" s="66"/>
      <c r="H33" s="69"/>
      <c r="I33" s="69"/>
    </row>
    <row r="34">
      <c r="D34" s="66"/>
      <c r="E34" s="66"/>
      <c r="F34" s="66"/>
      <c r="G34" s="66"/>
      <c r="H34" s="69"/>
      <c r="I34" s="69"/>
    </row>
    <row r="35">
      <c r="D35" s="66"/>
      <c r="E35" s="66"/>
      <c r="F35" s="66"/>
      <c r="G35" s="66"/>
      <c r="H35" s="69"/>
      <c r="I35" s="69"/>
    </row>
    <row r="36">
      <c r="D36" s="66"/>
      <c r="E36" s="66"/>
      <c r="F36" s="66"/>
      <c r="G36" s="66"/>
      <c r="H36" s="69"/>
      <c r="I36" s="69"/>
    </row>
    <row r="37">
      <c r="D37" s="66"/>
      <c r="E37" s="66"/>
      <c r="F37" s="66"/>
      <c r="G37" s="66"/>
      <c r="H37" s="69"/>
      <c r="I37" s="69"/>
    </row>
    <row r="38">
      <c r="D38" s="66"/>
      <c r="E38" s="66"/>
      <c r="F38" s="66"/>
      <c r="G38" s="66"/>
      <c r="H38" s="69"/>
      <c r="I38" s="69"/>
    </row>
    <row r="39">
      <c r="D39" s="66"/>
      <c r="E39" s="66"/>
      <c r="F39" s="66"/>
      <c r="G39" s="66"/>
      <c r="H39" s="69"/>
      <c r="I39" s="69"/>
    </row>
    <row r="40">
      <c r="D40" s="66"/>
      <c r="E40" s="66"/>
      <c r="F40" s="66"/>
      <c r="G40" s="66"/>
      <c r="H40" s="69"/>
      <c r="I40" s="69"/>
    </row>
    <row r="41">
      <c r="D41" s="66"/>
      <c r="E41" s="66"/>
      <c r="F41" s="66"/>
      <c r="G41" s="66"/>
      <c r="H41" s="69"/>
      <c r="I41" s="69"/>
    </row>
    <row r="42">
      <c r="D42" s="66"/>
      <c r="E42" s="66"/>
      <c r="F42" s="66"/>
      <c r="G42" s="66"/>
      <c r="H42" s="69"/>
      <c r="I42" s="69"/>
    </row>
    <row r="43">
      <c r="D43" s="66"/>
      <c r="E43" s="66"/>
      <c r="F43" s="66"/>
      <c r="G43" s="66"/>
      <c r="H43" s="69"/>
      <c r="I43" s="69"/>
    </row>
    <row r="44">
      <c r="D44" s="66"/>
      <c r="E44" s="66"/>
      <c r="F44" s="66"/>
      <c r="G44" s="66"/>
      <c r="H44" s="69"/>
      <c r="I44" s="69"/>
    </row>
    <row r="45">
      <c r="D45" s="66"/>
      <c r="E45" s="66"/>
      <c r="F45" s="66"/>
      <c r="G45" s="66"/>
      <c r="H45" s="69"/>
      <c r="I45" s="69"/>
    </row>
    <row r="46">
      <c r="D46" s="66"/>
      <c r="E46" s="66"/>
      <c r="F46" s="66"/>
      <c r="G46" s="66"/>
      <c r="H46" s="69"/>
      <c r="I46" s="69"/>
    </row>
    <row r="47">
      <c r="D47" s="66"/>
      <c r="E47" s="66"/>
      <c r="F47" s="66"/>
      <c r="G47" s="66"/>
      <c r="H47" s="69"/>
      <c r="I47" s="69"/>
    </row>
    <row r="48">
      <c r="D48" s="66"/>
      <c r="E48" s="66"/>
      <c r="F48" s="66"/>
      <c r="G48" s="66"/>
      <c r="H48" s="69"/>
      <c r="I48" s="69"/>
    </row>
    <row r="49">
      <c r="D49" s="66"/>
      <c r="E49" s="66"/>
      <c r="F49" s="66"/>
      <c r="G49" s="66"/>
      <c r="H49" s="69"/>
      <c r="I49" s="69"/>
    </row>
    <row r="50">
      <c r="D50" s="66"/>
      <c r="E50" s="66"/>
      <c r="F50" s="66"/>
      <c r="G50" s="66"/>
      <c r="H50" s="69"/>
      <c r="I50" s="69"/>
    </row>
    <row r="51">
      <c r="D51" s="66"/>
      <c r="E51" s="66"/>
      <c r="F51" s="66"/>
      <c r="G51" s="66"/>
      <c r="H51" s="69"/>
      <c r="I51" s="69"/>
    </row>
    <row r="52">
      <c r="D52" s="66"/>
      <c r="E52" s="66"/>
      <c r="F52" s="66"/>
      <c r="G52" s="66"/>
      <c r="H52" s="69"/>
      <c r="I52" s="69"/>
    </row>
    <row r="53">
      <c r="D53" s="66"/>
      <c r="E53" s="66"/>
      <c r="F53" s="66"/>
      <c r="G53" s="66"/>
      <c r="H53" s="69"/>
      <c r="I53" s="69"/>
    </row>
    <row r="54">
      <c r="D54" s="66"/>
      <c r="E54" s="66"/>
      <c r="F54" s="66"/>
      <c r="G54" s="66"/>
      <c r="H54" s="69"/>
      <c r="I54" s="69"/>
    </row>
    <row r="55">
      <c r="D55" s="66"/>
      <c r="E55" s="66"/>
      <c r="F55" s="66"/>
      <c r="G55" s="66"/>
      <c r="H55" s="69"/>
      <c r="I55" s="69"/>
    </row>
    <row r="56">
      <c r="D56" s="66"/>
      <c r="E56" s="66"/>
      <c r="F56" s="66"/>
      <c r="G56" s="66"/>
      <c r="H56" s="69"/>
      <c r="I56" s="69"/>
    </row>
    <row r="57">
      <c r="D57" s="66"/>
      <c r="E57" s="66"/>
      <c r="F57" s="66"/>
      <c r="G57" s="66"/>
      <c r="H57" s="69"/>
      <c r="I57" s="69"/>
    </row>
    <row r="58">
      <c r="D58" s="66"/>
      <c r="E58" s="66"/>
      <c r="F58" s="66"/>
      <c r="G58" s="66"/>
      <c r="H58" s="69"/>
      <c r="I58" s="69"/>
    </row>
    <row r="59">
      <c r="D59" s="66"/>
      <c r="E59" s="66"/>
      <c r="F59" s="66"/>
      <c r="G59" s="66"/>
      <c r="H59" s="69"/>
      <c r="I59" s="69"/>
    </row>
    <row r="60">
      <c r="D60" s="66"/>
      <c r="E60" s="66"/>
      <c r="F60" s="66"/>
      <c r="G60" s="66"/>
      <c r="H60" s="69"/>
      <c r="I60" s="69"/>
    </row>
    <row r="61">
      <c r="D61" s="66"/>
      <c r="E61" s="66"/>
      <c r="F61" s="66"/>
      <c r="G61" s="66"/>
      <c r="H61" s="69"/>
      <c r="I61" s="69"/>
    </row>
    <row r="62">
      <c r="D62" s="66"/>
      <c r="E62" s="66"/>
      <c r="F62" s="66"/>
      <c r="G62" s="66"/>
      <c r="H62" s="69"/>
      <c r="I62" s="69"/>
    </row>
    <row r="63">
      <c r="D63" s="66"/>
      <c r="E63" s="66"/>
      <c r="F63" s="66"/>
      <c r="G63" s="66"/>
      <c r="H63" s="69"/>
      <c r="I63" s="69"/>
    </row>
    <row r="64">
      <c r="D64" s="66"/>
      <c r="E64" s="66"/>
      <c r="F64" s="66"/>
      <c r="G64" s="66"/>
      <c r="H64" s="69"/>
      <c r="I64" s="69"/>
    </row>
    <row r="65">
      <c r="D65" s="66"/>
      <c r="E65" s="66"/>
      <c r="F65" s="66"/>
      <c r="G65" s="66"/>
      <c r="H65" s="69"/>
      <c r="I65" s="69"/>
    </row>
    <row r="66">
      <c r="D66" s="66"/>
      <c r="E66" s="66"/>
      <c r="F66" s="66"/>
      <c r="G66" s="66"/>
      <c r="H66" s="69"/>
      <c r="I66" s="69"/>
    </row>
    <row r="67">
      <c r="D67" s="66"/>
      <c r="E67" s="66"/>
      <c r="F67" s="66"/>
      <c r="G67" s="66"/>
      <c r="H67" s="69"/>
      <c r="I67" s="69"/>
    </row>
    <row r="68">
      <c r="D68" s="66"/>
      <c r="E68" s="66"/>
      <c r="F68" s="66"/>
      <c r="G68" s="66"/>
      <c r="H68" s="69"/>
      <c r="I68" s="69"/>
    </row>
    <row r="69">
      <c r="D69" s="66"/>
      <c r="E69" s="66"/>
      <c r="F69" s="66"/>
      <c r="G69" s="66"/>
      <c r="H69" s="69"/>
      <c r="I69" s="69"/>
    </row>
    <row r="70">
      <c r="D70" s="66"/>
      <c r="E70" s="66"/>
      <c r="F70" s="66"/>
      <c r="G70" s="66"/>
      <c r="H70" s="69"/>
      <c r="I70" s="69"/>
    </row>
    <row r="71">
      <c r="D71" s="66"/>
      <c r="E71" s="66"/>
      <c r="F71" s="66"/>
      <c r="G71" s="66"/>
      <c r="H71" s="69"/>
      <c r="I71" s="69"/>
    </row>
    <row r="72">
      <c r="D72" s="66"/>
      <c r="E72" s="66"/>
      <c r="F72" s="66"/>
      <c r="G72" s="66"/>
      <c r="H72" s="69"/>
      <c r="I72" s="69"/>
    </row>
    <row r="73">
      <c r="D73" s="66"/>
      <c r="E73" s="66"/>
      <c r="F73" s="66"/>
      <c r="G73" s="66"/>
      <c r="H73" s="69"/>
      <c r="I73" s="69"/>
    </row>
    <row r="74">
      <c r="D74" s="66"/>
      <c r="E74" s="66"/>
      <c r="F74" s="66"/>
      <c r="G74" s="66"/>
      <c r="H74" s="69"/>
      <c r="I74" s="69"/>
    </row>
    <row r="75">
      <c r="D75" s="66"/>
      <c r="E75" s="66"/>
      <c r="F75" s="66"/>
      <c r="G75" s="66"/>
      <c r="H75" s="69"/>
      <c r="I75" s="69"/>
    </row>
    <row r="76">
      <c r="D76" s="66"/>
      <c r="E76" s="66"/>
      <c r="F76" s="66"/>
      <c r="G76" s="66"/>
      <c r="H76" s="69"/>
      <c r="I76" s="69"/>
    </row>
    <row r="77">
      <c r="D77" s="66"/>
      <c r="E77" s="66"/>
      <c r="F77" s="66"/>
      <c r="G77" s="66"/>
      <c r="H77" s="69"/>
      <c r="I77" s="69"/>
    </row>
    <row r="78">
      <c r="D78" s="66"/>
      <c r="E78" s="66"/>
      <c r="F78" s="66"/>
      <c r="G78" s="66"/>
      <c r="H78" s="69"/>
      <c r="I78" s="69"/>
    </row>
    <row r="79">
      <c r="D79" s="66"/>
      <c r="E79" s="66"/>
      <c r="F79" s="66"/>
      <c r="G79" s="66"/>
      <c r="H79" s="69"/>
      <c r="I79" s="69"/>
    </row>
    <row r="80">
      <c r="D80" s="66"/>
      <c r="E80" s="66"/>
      <c r="F80" s="66"/>
      <c r="G80" s="66"/>
      <c r="H80" s="69"/>
      <c r="I80" s="69"/>
    </row>
    <row r="81">
      <c r="D81" s="66"/>
      <c r="E81" s="66"/>
      <c r="F81" s="66"/>
      <c r="G81" s="66"/>
      <c r="H81" s="69"/>
      <c r="I81" s="69"/>
    </row>
    <row r="82">
      <c r="D82" s="66"/>
      <c r="E82" s="66"/>
      <c r="F82" s="66"/>
      <c r="G82" s="66"/>
      <c r="H82" s="69"/>
      <c r="I82" s="69"/>
    </row>
    <row r="83">
      <c r="D83" s="66"/>
      <c r="E83" s="66"/>
      <c r="F83" s="66"/>
      <c r="G83" s="66"/>
      <c r="H83" s="69"/>
      <c r="I83" s="69"/>
    </row>
    <row r="84">
      <c r="D84" s="66"/>
      <c r="E84" s="66"/>
      <c r="F84" s="66"/>
      <c r="G84" s="66"/>
      <c r="H84" s="69"/>
      <c r="I84" s="69"/>
    </row>
    <row r="85">
      <c r="D85" s="66"/>
      <c r="E85" s="66"/>
      <c r="F85" s="66"/>
      <c r="G85" s="66"/>
      <c r="H85" s="69"/>
      <c r="I85" s="69"/>
    </row>
    <row r="86">
      <c r="D86" s="66"/>
      <c r="E86" s="66"/>
      <c r="F86" s="66"/>
      <c r="G86" s="66"/>
      <c r="H86" s="69"/>
      <c r="I86" s="69"/>
    </row>
    <row r="87">
      <c r="D87" s="66"/>
      <c r="E87" s="66"/>
      <c r="F87" s="66"/>
      <c r="G87" s="66"/>
      <c r="H87" s="69"/>
      <c r="I87" s="69"/>
    </row>
    <row r="88">
      <c r="D88" s="66"/>
      <c r="E88" s="66"/>
      <c r="F88" s="66"/>
      <c r="G88" s="66"/>
      <c r="H88" s="69"/>
      <c r="I88" s="69"/>
    </row>
    <row r="89">
      <c r="D89" s="66"/>
      <c r="E89" s="66"/>
      <c r="F89" s="66"/>
      <c r="G89" s="66"/>
      <c r="H89" s="69"/>
      <c r="I89" s="69"/>
    </row>
    <row r="90">
      <c r="D90" s="66"/>
      <c r="E90" s="66"/>
      <c r="F90" s="66"/>
      <c r="G90" s="66"/>
      <c r="H90" s="69"/>
      <c r="I90" s="69"/>
    </row>
    <row r="91">
      <c r="D91" s="66"/>
      <c r="E91" s="66"/>
      <c r="F91" s="66"/>
      <c r="G91" s="66"/>
      <c r="H91" s="69"/>
      <c r="I91" s="69"/>
    </row>
    <row r="92">
      <c r="D92" s="66"/>
      <c r="E92" s="66"/>
      <c r="F92" s="66"/>
      <c r="G92" s="66"/>
      <c r="H92" s="69"/>
      <c r="I92" s="69"/>
    </row>
    <row r="93">
      <c r="D93" s="66"/>
      <c r="E93" s="66"/>
      <c r="F93" s="66"/>
      <c r="G93" s="66"/>
      <c r="H93" s="69"/>
      <c r="I93" s="69"/>
    </row>
    <row r="94">
      <c r="D94" s="66"/>
      <c r="E94" s="66"/>
      <c r="F94" s="66"/>
      <c r="G94" s="66"/>
      <c r="H94" s="69"/>
      <c r="I94" s="69"/>
    </row>
    <row r="95">
      <c r="D95" s="66"/>
      <c r="E95" s="66"/>
      <c r="F95" s="66"/>
      <c r="G95" s="66"/>
      <c r="H95" s="69"/>
      <c r="I95" s="69"/>
    </row>
    <row r="96">
      <c r="D96" s="66"/>
      <c r="E96" s="66"/>
      <c r="F96" s="66"/>
      <c r="G96" s="66"/>
      <c r="H96" s="69"/>
      <c r="I96" s="69"/>
    </row>
    <row r="97">
      <c r="D97" s="66"/>
      <c r="E97" s="66"/>
      <c r="F97" s="66"/>
      <c r="G97" s="66"/>
      <c r="H97" s="69"/>
      <c r="I97" s="69"/>
    </row>
    <row r="98">
      <c r="D98" s="66"/>
      <c r="E98" s="66"/>
      <c r="F98" s="66"/>
      <c r="G98" s="66"/>
      <c r="H98" s="69"/>
      <c r="I98" s="69"/>
    </row>
    <row r="99">
      <c r="D99" s="66"/>
      <c r="E99" s="66"/>
      <c r="F99" s="66"/>
      <c r="G99" s="66"/>
      <c r="H99" s="69"/>
      <c r="I99" s="69"/>
    </row>
    <row r="100">
      <c r="D100" s="66"/>
      <c r="E100" s="66"/>
      <c r="F100" s="66"/>
      <c r="G100" s="66"/>
      <c r="H100" s="69"/>
      <c r="I100" s="69"/>
    </row>
    <row r="101">
      <c r="D101" s="66"/>
      <c r="E101" s="66"/>
      <c r="F101" s="66"/>
      <c r="G101" s="66"/>
      <c r="H101" s="69"/>
      <c r="I101" s="69"/>
    </row>
    <row r="102">
      <c r="D102" s="66"/>
      <c r="E102" s="66"/>
      <c r="F102" s="66"/>
      <c r="G102" s="66"/>
      <c r="H102" s="69"/>
      <c r="I102" s="69"/>
    </row>
    <row r="103">
      <c r="D103" s="66"/>
      <c r="E103" s="66"/>
      <c r="F103" s="66"/>
      <c r="G103" s="66"/>
      <c r="H103" s="69"/>
      <c r="I103" s="69"/>
    </row>
    <row r="104">
      <c r="D104" s="66"/>
      <c r="E104" s="66"/>
      <c r="F104" s="66"/>
      <c r="G104" s="66"/>
      <c r="H104" s="69"/>
      <c r="I104" s="69"/>
    </row>
    <row r="105">
      <c r="D105" s="66"/>
      <c r="E105" s="66"/>
      <c r="F105" s="66"/>
      <c r="G105" s="66"/>
      <c r="H105" s="69"/>
      <c r="I105" s="69"/>
    </row>
    <row r="106">
      <c r="D106" s="66"/>
      <c r="E106" s="66"/>
      <c r="F106" s="66"/>
      <c r="G106" s="66"/>
      <c r="H106" s="69"/>
      <c r="I106" s="69"/>
    </row>
    <row r="107">
      <c r="D107" s="66"/>
      <c r="E107" s="66"/>
      <c r="F107" s="66"/>
      <c r="G107" s="66"/>
      <c r="H107" s="69"/>
      <c r="I107" s="69"/>
    </row>
    <row r="108">
      <c r="D108" s="66"/>
      <c r="E108" s="66"/>
      <c r="F108" s="66"/>
      <c r="G108" s="66"/>
      <c r="H108" s="69"/>
      <c r="I108" s="69"/>
    </row>
    <row r="109">
      <c r="D109" s="66"/>
      <c r="E109" s="66"/>
      <c r="F109" s="66"/>
      <c r="G109" s="66"/>
      <c r="H109" s="69"/>
      <c r="I109" s="69"/>
    </row>
    <row r="110">
      <c r="D110" s="66"/>
      <c r="E110" s="66"/>
      <c r="F110" s="66"/>
      <c r="G110" s="66"/>
      <c r="H110" s="69"/>
      <c r="I110" s="69"/>
    </row>
    <row r="111">
      <c r="D111" s="66"/>
      <c r="E111" s="66"/>
      <c r="F111" s="66"/>
      <c r="G111" s="66"/>
      <c r="H111" s="69"/>
      <c r="I111" s="69"/>
    </row>
    <row r="112">
      <c r="D112" s="66"/>
      <c r="E112" s="66"/>
      <c r="F112" s="66"/>
      <c r="G112" s="66"/>
      <c r="H112" s="69"/>
      <c r="I112" s="69"/>
    </row>
    <row r="113">
      <c r="D113" s="66"/>
      <c r="E113" s="66"/>
      <c r="F113" s="66"/>
      <c r="G113" s="66"/>
      <c r="H113" s="69"/>
      <c r="I113" s="69"/>
    </row>
    <row r="114">
      <c r="D114" s="66"/>
      <c r="E114" s="66"/>
      <c r="F114" s="66"/>
      <c r="G114" s="66"/>
      <c r="H114" s="69"/>
      <c r="I114" s="69"/>
    </row>
    <row r="115">
      <c r="D115" s="66"/>
      <c r="E115" s="66"/>
      <c r="F115" s="66"/>
      <c r="G115" s="66"/>
      <c r="H115" s="69"/>
      <c r="I115" s="69"/>
    </row>
    <row r="116">
      <c r="D116" s="66"/>
      <c r="E116" s="66"/>
      <c r="F116" s="66"/>
      <c r="G116" s="66"/>
      <c r="H116" s="69"/>
      <c r="I116" s="69"/>
    </row>
    <row r="117">
      <c r="D117" s="66"/>
      <c r="E117" s="66"/>
      <c r="F117" s="66"/>
      <c r="G117" s="66"/>
      <c r="H117" s="69"/>
      <c r="I117" s="69"/>
    </row>
    <row r="118">
      <c r="D118" s="66"/>
      <c r="E118" s="66"/>
      <c r="F118" s="66"/>
      <c r="G118" s="66"/>
      <c r="H118" s="69"/>
      <c r="I118" s="69"/>
    </row>
    <row r="119">
      <c r="D119" s="66"/>
      <c r="E119" s="66"/>
      <c r="F119" s="66"/>
      <c r="G119" s="66"/>
      <c r="H119" s="69"/>
      <c r="I119" s="69"/>
    </row>
    <row r="120">
      <c r="D120" s="66"/>
      <c r="E120" s="66"/>
      <c r="F120" s="66"/>
      <c r="G120" s="66"/>
      <c r="H120" s="69"/>
      <c r="I120" s="69"/>
    </row>
    <row r="121">
      <c r="D121" s="66"/>
      <c r="E121" s="66"/>
      <c r="F121" s="66"/>
      <c r="G121" s="66"/>
      <c r="H121" s="69"/>
      <c r="I121" s="69"/>
    </row>
    <row r="122">
      <c r="D122" s="66"/>
      <c r="E122" s="66"/>
      <c r="F122" s="66"/>
      <c r="G122" s="66"/>
      <c r="H122" s="69"/>
      <c r="I122" s="69"/>
    </row>
    <row r="123">
      <c r="D123" s="66"/>
      <c r="E123" s="66"/>
      <c r="F123" s="66"/>
      <c r="G123" s="66"/>
      <c r="H123" s="69"/>
      <c r="I123" s="69"/>
    </row>
    <row r="124">
      <c r="D124" s="66"/>
      <c r="E124" s="66"/>
      <c r="F124" s="66"/>
      <c r="G124" s="66"/>
      <c r="H124" s="69"/>
      <c r="I124" s="69"/>
    </row>
    <row r="125">
      <c r="D125" s="66"/>
      <c r="E125" s="66"/>
      <c r="F125" s="66"/>
      <c r="G125" s="66"/>
      <c r="H125" s="69"/>
      <c r="I125" s="69"/>
    </row>
    <row r="126">
      <c r="D126" s="66"/>
      <c r="E126" s="66"/>
      <c r="F126" s="66"/>
      <c r="G126" s="66"/>
      <c r="H126" s="69"/>
      <c r="I126" s="69"/>
    </row>
    <row r="127">
      <c r="D127" s="66"/>
      <c r="E127" s="66"/>
      <c r="F127" s="66"/>
      <c r="G127" s="66"/>
      <c r="H127" s="69"/>
      <c r="I127" s="69"/>
    </row>
    <row r="128">
      <c r="D128" s="66"/>
      <c r="E128" s="66"/>
      <c r="F128" s="66"/>
      <c r="G128" s="66"/>
      <c r="H128" s="69"/>
      <c r="I128" s="69"/>
    </row>
    <row r="129">
      <c r="D129" s="66"/>
      <c r="E129" s="66"/>
      <c r="F129" s="66"/>
      <c r="G129" s="66"/>
      <c r="H129" s="69"/>
      <c r="I129" s="69"/>
    </row>
    <row r="130">
      <c r="D130" s="66"/>
      <c r="E130" s="66"/>
      <c r="F130" s="66"/>
      <c r="G130" s="66"/>
      <c r="H130" s="69"/>
      <c r="I130" s="69"/>
    </row>
    <row r="131">
      <c r="D131" s="66"/>
      <c r="E131" s="66"/>
      <c r="F131" s="66"/>
      <c r="G131" s="66"/>
      <c r="H131" s="69"/>
      <c r="I131" s="69"/>
    </row>
    <row r="132">
      <c r="D132" s="66"/>
      <c r="E132" s="66"/>
      <c r="F132" s="66"/>
      <c r="G132" s="66"/>
      <c r="H132" s="69"/>
      <c r="I132" s="69"/>
    </row>
    <row r="133">
      <c r="D133" s="66"/>
      <c r="E133" s="66"/>
      <c r="F133" s="66"/>
      <c r="G133" s="66"/>
      <c r="H133" s="69"/>
      <c r="I133" s="69"/>
    </row>
    <row r="134">
      <c r="D134" s="66"/>
      <c r="E134" s="66"/>
      <c r="F134" s="66"/>
      <c r="G134" s="66"/>
      <c r="H134" s="69"/>
      <c r="I134" s="69"/>
    </row>
    <row r="135">
      <c r="D135" s="66"/>
      <c r="E135" s="66"/>
      <c r="F135" s="66"/>
      <c r="G135" s="66"/>
      <c r="H135" s="69"/>
      <c r="I135" s="69"/>
    </row>
    <row r="136">
      <c r="D136" s="66"/>
      <c r="E136" s="66"/>
      <c r="F136" s="66"/>
      <c r="G136" s="66"/>
      <c r="H136" s="69"/>
      <c r="I136" s="69"/>
    </row>
    <row r="137">
      <c r="D137" s="66"/>
      <c r="E137" s="66"/>
      <c r="F137" s="66"/>
      <c r="G137" s="66"/>
      <c r="H137" s="69"/>
      <c r="I137" s="69"/>
    </row>
    <row r="138">
      <c r="D138" s="66"/>
      <c r="E138" s="66"/>
      <c r="F138" s="66"/>
      <c r="G138" s="66"/>
      <c r="H138" s="69"/>
      <c r="I138" s="69"/>
    </row>
    <row r="139">
      <c r="D139" s="66"/>
      <c r="E139" s="66"/>
      <c r="F139" s="66"/>
      <c r="G139" s="66"/>
      <c r="H139" s="69"/>
      <c r="I139" s="69"/>
    </row>
    <row r="140">
      <c r="D140" s="66"/>
      <c r="E140" s="66"/>
      <c r="F140" s="66"/>
      <c r="G140" s="66"/>
      <c r="H140" s="69"/>
      <c r="I140" s="69"/>
    </row>
    <row r="141">
      <c r="D141" s="66"/>
      <c r="E141" s="66"/>
      <c r="F141" s="66"/>
      <c r="G141" s="66"/>
      <c r="H141" s="69"/>
      <c r="I141" s="69"/>
    </row>
    <row r="142">
      <c r="D142" s="66"/>
      <c r="E142" s="66"/>
      <c r="F142" s="66"/>
      <c r="G142" s="66"/>
      <c r="H142" s="69"/>
      <c r="I142" s="69"/>
    </row>
    <row r="143">
      <c r="D143" s="66"/>
      <c r="E143" s="66"/>
      <c r="F143" s="66"/>
      <c r="G143" s="66"/>
      <c r="H143" s="69"/>
      <c r="I143" s="69"/>
    </row>
    <row r="144">
      <c r="D144" s="66"/>
      <c r="E144" s="66"/>
      <c r="F144" s="66"/>
      <c r="G144" s="66"/>
      <c r="H144" s="69"/>
      <c r="I144" s="69"/>
    </row>
    <row r="145">
      <c r="D145" s="66"/>
      <c r="E145" s="66"/>
      <c r="F145" s="66"/>
      <c r="G145" s="66"/>
      <c r="H145" s="69"/>
      <c r="I145" s="69"/>
    </row>
    <row r="146">
      <c r="D146" s="66"/>
      <c r="E146" s="66"/>
      <c r="F146" s="66"/>
      <c r="G146" s="66"/>
      <c r="H146" s="69"/>
      <c r="I146" s="69"/>
    </row>
    <row r="147">
      <c r="D147" s="66"/>
      <c r="E147" s="66"/>
      <c r="F147" s="66"/>
      <c r="G147" s="66"/>
      <c r="H147" s="69"/>
      <c r="I147" s="69"/>
    </row>
    <row r="148">
      <c r="D148" s="66"/>
      <c r="E148" s="66"/>
      <c r="F148" s="66"/>
      <c r="G148" s="66"/>
      <c r="H148" s="69"/>
      <c r="I148" s="69"/>
    </row>
    <row r="149">
      <c r="D149" s="66"/>
      <c r="E149" s="66"/>
      <c r="F149" s="66"/>
      <c r="G149" s="66"/>
      <c r="H149" s="69"/>
      <c r="I149" s="69"/>
    </row>
    <row r="150">
      <c r="D150" s="66"/>
      <c r="E150" s="66"/>
      <c r="F150" s="66"/>
      <c r="G150" s="66"/>
      <c r="H150" s="69"/>
      <c r="I150" s="69"/>
    </row>
    <row r="151">
      <c r="D151" s="66"/>
      <c r="E151" s="66"/>
      <c r="F151" s="66"/>
      <c r="G151" s="66"/>
      <c r="H151" s="69"/>
      <c r="I151" s="69"/>
    </row>
    <row r="152">
      <c r="D152" s="66"/>
      <c r="E152" s="66"/>
      <c r="F152" s="66"/>
      <c r="G152" s="66"/>
      <c r="H152" s="69"/>
      <c r="I152" s="69"/>
    </row>
    <row r="153">
      <c r="D153" s="66"/>
      <c r="E153" s="66"/>
      <c r="F153" s="66"/>
      <c r="G153" s="66"/>
      <c r="H153" s="69"/>
      <c r="I153" s="69"/>
    </row>
    <row r="154">
      <c r="D154" s="66"/>
      <c r="E154" s="66"/>
      <c r="F154" s="66"/>
      <c r="G154" s="66"/>
      <c r="H154" s="69"/>
      <c r="I154" s="69"/>
    </row>
    <row r="155">
      <c r="D155" s="66"/>
      <c r="E155" s="66"/>
      <c r="F155" s="66"/>
      <c r="G155" s="66"/>
      <c r="H155" s="69"/>
      <c r="I155" s="69"/>
    </row>
    <row r="156">
      <c r="D156" s="66"/>
      <c r="E156" s="66"/>
      <c r="F156" s="66"/>
      <c r="G156" s="66"/>
      <c r="H156" s="69"/>
      <c r="I156" s="69"/>
    </row>
    <row r="157">
      <c r="D157" s="66"/>
      <c r="E157" s="66"/>
      <c r="F157" s="66"/>
      <c r="G157" s="66"/>
      <c r="H157" s="69"/>
      <c r="I157" s="69"/>
    </row>
    <row r="158">
      <c r="D158" s="66"/>
      <c r="E158" s="66"/>
      <c r="F158" s="66"/>
      <c r="G158" s="66"/>
      <c r="H158" s="69"/>
      <c r="I158" s="69"/>
    </row>
    <row r="159">
      <c r="D159" s="66"/>
      <c r="E159" s="66"/>
      <c r="F159" s="66"/>
      <c r="G159" s="66"/>
      <c r="H159" s="69"/>
      <c r="I159" s="69"/>
    </row>
    <row r="160">
      <c r="D160" s="66"/>
      <c r="E160" s="66"/>
      <c r="F160" s="66"/>
      <c r="G160" s="66"/>
      <c r="H160" s="69"/>
      <c r="I160" s="69"/>
    </row>
    <row r="161">
      <c r="D161" s="66"/>
      <c r="E161" s="66"/>
      <c r="F161" s="66"/>
      <c r="G161" s="66"/>
      <c r="H161" s="69"/>
      <c r="I161" s="69"/>
    </row>
    <row r="162">
      <c r="D162" s="66"/>
      <c r="E162" s="66"/>
      <c r="F162" s="66"/>
      <c r="G162" s="66"/>
      <c r="H162" s="69"/>
      <c r="I162" s="69"/>
    </row>
    <row r="163">
      <c r="D163" s="66"/>
      <c r="E163" s="66"/>
      <c r="F163" s="66"/>
      <c r="G163" s="66"/>
      <c r="H163" s="69"/>
      <c r="I163" s="69"/>
    </row>
    <row r="164">
      <c r="D164" s="66"/>
      <c r="E164" s="66"/>
      <c r="F164" s="66"/>
      <c r="G164" s="66"/>
      <c r="H164" s="69"/>
      <c r="I164" s="69"/>
    </row>
    <row r="165">
      <c r="D165" s="66"/>
      <c r="E165" s="66"/>
      <c r="F165" s="66"/>
      <c r="G165" s="66"/>
      <c r="H165" s="69"/>
      <c r="I165" s="69"/>
    </row>
    <row r="166">
      <c r="D166" s="66"/>
      <c r="E166" s="66"/>
      <c r="F166" s="66"/>
      <c r="G166" s="66"/>
      <c r="H166" s="69"/>
      <c r="I166" s="69"/>
    </row>
    <row r="167">
      <c r="D167" s="66"/>
      <c r="E167" s="66"/>
      <c r="F167" s="66"/>
      <c r="G167" s="66"/>
      <c r="H167" s="69"/>
      <c r="I167" s="69"/>
    </row>
    <row r="168">
      <c r="D168" s="66"/>
      <c r="E168" s="66"/>
      <c r="F168" s="66"/>
      <c r="G168" s="66"/>
      <c r="H168" s="69"/>
      <c r="I168" s="69"/>
    </row>
    <row r="169">
      <c r="D169" s="66"/>
      <c r="E169" s="66"/>
      <c r="F169" s="66"/>
      <c r="G169" s="66"/>
      <c r="H169" s="69"/>
      <c r="I169" s="69"/>
    </row>
    <row r="170">
      <c r="D170" s="66"/>
      <c r="E170" s="66"/>
      <c r="F170" s="66"/>
      <c r="G170" s="66"/>
      <c r="H170" s="69"/>
      <c r="I170" s="69"/>
    </row>
    <row r="171">
      <c r="D171" s="66"/>
      <c r="E171" s="66"/>
      <c r="F171" s="66"/>
      <c r="G171" s="66"/>
      <c r="H171" s="69"/>
      <c r="I171" s="69"/>
    </row>
    <row r="172">
      <c r="D172" s="66"/>
      <c r="E172" s="66"/>
      <c r="F172" s="66"/>
      <c r="G172" s="66"/>
      <c r="H172" s="69"/>
      <c r="I172" s="69"/>
    </row>
    <row r="173">
      <c r="D173" s="66"/>
      <c r="E173" s="66"/>
      <c r="F173" s="66"/>
      <c r="G173" s="66"/>
      <c r="H173" s="69"/>
      <c r="I173" s="69"/>
    </row>
    <row r="174">
      <c r="D174" s="66"/>
      <c r="E174" s="66"/>
      <c r="F174" s="66"/>
      <c r="G174" s="66"/>
      <c r="H174" s="69"/>
      <c r="I174" s="69"/>
    </row>
    <row r="175">
      <c r="D175" s="66"/>
      <c r="E175" s="66"/>
      <c r="F175" s="66"/>
      <c r="G175" s="66"/>
      <c r="H175" s="69"/>
      <c r="I175" s="69"/>
    </row>
    <row r="176">
      <c r="D176" s="66"/>
      <c r="E176" s="66"/>
      <c r="F176" s="66"/>
      <c r="G176" s="66"/>
      <c r="H176" s="69"/>
      <c r="I176" s="69"/>
    </row>
    <row r="177">
      <c r="D177" s="66"/>
      <c r="E177" s="66"/>
      <c r="F177" s="66"/>
      <c r="G177" s="66"/>
      <c r="H177" s="69"/>
      <c r="I177" s="69"/>
    </row>
    <row r="178">
      <c r="D178" s="66"/>
      <c r="E178" s="66"/>
      <c r="F178" s="66"/>
      <c r="G178" s="66"/>
      <c r="H178" s="69"/>
      <c r="I178" s="69"/>
    </row>
    <row r="179">
      <c r="D179" s="66"/>
      <c r="E179" s="66"/>
      <c r="F179" s="66"/>
      <c r="G179" s="66"/>
      <c r="H179" s="69"/>
      <c r="I179" s="69"/>
    </row>
    <row r="180">
      <c r="D180" s="66"/>
      <c r="E180" s="66"/>
      <c r="F180" s="66"/>
      <c r="G180" s="66"/>
      <c r="H180" s="69"/>
      <c r="I180" s="69"/>
    </row>
    <row r="181">
      <c r="D181" s="66"/>
      <c r="E181" s="66"/>
      <c r="F181" s="66"/>
      <c r="G181" s="66"/>
      <c r="H181" s="69"/>
      <c r="I181" s="69"/>
    </row>
    <row r="182">
      <c r="D182" s="66"/>
      <c r="E182" s="66"/>
      <c r="F182" s="66"/>
      <c r="G182" s="66"/>
      <c r="H182" s="69"/>
      <c r="I182" s="69"/>
    </row>
    <row r="183">
      <c r="D183" s="66"/>
      <c r="E183" s="66"/>
      <c r="F183" s="66"/>
      <c r="G183" s="66"/>
      <c r="H183" s="69"/>
      <c r="I183" s="69"/>
    </row>
    <row r="184">
      <c r="D184" s="66"/>
      <c r="E184" s="66"/>
      <c r="F184" s="66"/>
      <c r="G184" s="66"/>
      <c r="H184" s="69"/>
      <c r="I184" s="69"/>
    </row>
    <row r="185">
      <c r="D185" s="66"/>
      <c r="E185" s="66"/>
      <c r="F185" s="66"/>
      <c r="G185" s="66"/>
      <c r="H185" s="69"/>
      <c r="I185" s="69"/>
    </row>
    <row r="186">
      <c r="D186" s="66"/>
      <c r="E186" s="66"/>
      <c r="F186" s="66"/>
      <c r="G186" s="66"/>
      <c r="H186" s="69"/>
      <c r="I186" s="69"/>
    </row>
    <row r="187">
      <c r="D187" s="66"/>
      <c r="E187" s="66"/>
      <c r="F187" s="66"/>
      <c r="G187" s="66"/>
      <c r="H187" s="69"/>
      <c r="I187" s="69"/>
    </row>
    <row r="188">
      <c r="D188" s="66"/>
      <c r="E188" s="66"/>
      <c r="F188" s="66"/>
      <c r="G188" s="66"/>
      <c r="H188" s="69"/>
      <c r="I188" s="69"/>
    </row>
    <row r="189">
      <c r="D189" s="66"/>
      <c r="E189" s="66"/>
      <c r="F189" s="66"/>
      <c r="G189" s="66"/>
      <c r="H189" s="69"/>
      <c r="I189" s="69"/>
    </row>
    <row r="190">
      <c r="D190" s="66"/>
      <c r="E190" s="66"/>
      <c r="F190" s="66"/>
      <c r="G190" s="66"/>
      <c r="H190" s="69"/>
      <c r="I190" s="69"/>
    </row>
    <row r="191">
      <c r="D191" s="66"/>
      <c r="E191" s="66"/>
      <c r="F191" s="66"/>
      <c r="G191" s="66"/>
      <c r="H191" s="69"/>
      <c r="I191" s="69"/>
    </row>
    <row r="192">
      <c r="D192" s="66"/>
      <c r="E192" s="66"/>
      <c r="F192" s="66"/>
      <c r="G192" s="66"/>
      <c r="H192" s="69"/>
      <c r="I192" s="69"/>
    </row>
    <row r="193">
      <c r="D193" s="66"/>
      <c r="E193" s="66"/>
      <c r="F193" s="66"/>
      <c r="G193" s="66"/>
      <c r="H193" s="69"/>
      <c r="I193" s="69"/>
    </row>
    <row r="194">
      <c r="D194" s="66"/>
      <c r="E194" s="66"/>
      <c r="F194" s="66"/>
      <c r="G194" s="66"/>
      <c r="H194" s="69"/>
      <c r="I194" s="69"/>
    </row>
    <row r="195">
      <c r="D195" s="66"/>
      <c r="E195" s="66"/>
      <c r="F195" s="66"/>
      <c r="G195" s="66"/>
      <c r="H195" s="69"/>
      <c r="I195" s="69"/>
    </row>
    <row r="196">
      <c r="D196" s="66"/>
      <c r="E196" s="66"/>
      <c r="F196" s="66"/>
      <c r="G196" s="66"/>
      <c r="H196" s="69"/>
      <c r="I196" s="69"/>
    </row>
    <row r="197">
      <c r="D197" s="66"/>
      <c r="E197" s="66"/>
      <c r="F197" s="66"/>
      <c r="G197" s="66"/>
      <c r="H197" s="69"/>
      <c r="I197" s="69"/>
    </row>
    <row r="198">
      <c r="D198" s="66"/>
      <c r="E198" s="66"/>
      <c r="F198" s="66"/>
      <c r="G198" s="66"/>
      <c r="H198" s="69"/>
      <c r="I198" s="69"/>
    </row>
    <row r="199">
      <c r="D199" s="66"/>
      <c r="E199" s="66"/>
      <c r="F199" s="66"/>
      <c r="G199" s="66"/>
      <c r="H199" s="69"/>
      <c r="I199" s="69"/>
    </row>
    <row r="200">
      <c r="D200" s="66"/>
      <c r="E200" s="66"/>
      <c r="F200" s="66"/>
      <c r="G200" s="66"/>
      <c r="H200" s="69"/>
      <c r="I200" s="69"/>
    </row>
    <row r="201">
      <c r="D201" s="66"/>
      <c r="E201" s="66"/>
      <c r="F201" s="66"/>
      <c r="G201" s="66"/>
      <c r="H201" s="69"/>
      <c r="I201" s="69"/>
    </row>
    <row r="202">
      <c r="D202" s="66"/>
      <c r="E202" s="66"/>
      <c r="F202" s="66"/>
      <c r="G202" s="66"/>
      <c r="H202" s="69"/>
      <c r="I202" s="69"/>
    </row>
    <row r="203">
      <c r="D203" s="66"/>
      <c r="E203" s="66"/>
      <c r="F203" s="66"/>
      <c r="G203" s="66"/>
      <c r="H203" s="69"/>
      <c r="I203" s="69"/>
    </row>
    <row r="204">
      <c r="D204" s="66"/>
      <c r="E204" s="66"/>
      <c r="F204" s="66"/>
      <c r="G204" s="66"/>
      <c r="H204" s="69"/>
      <c r="I204" s="69"/>
    </row>
    <row r="205">
      <c r="D205" s="66"/>
      <c r="E205" s="66"/>
      <c r="F205" s="66"/>
      <c r="G205" s="66"/>
      <c r="H205" s="69"/>
      <c r="I205" s="69"/>
    </row>
    <row r="206">
      <c r="D206" s="66"/>
      <c r="E206" s="66"/>
      <c r="F206" s="66"/>
      <c r="G206" s="66"/>
      <c r="H206" s="69"/>
      <c r="I206" s="69"/>
    </row>
    <row r="207">
      <c r="D207" s="66"/>
      <c r="E207" s="66"/>
      <c r="F207" s="66"/>
      <c r="G207" s="66"/>
      <c r="H207" s="69"/>
      <c r="I207" s="69"/>
    </row>
    <row r="208">
      <c r="D208" s="66"/>
      <c r="E208" s="66"/>
      <c r="F208" s="66"/>
      <c r="G208" s="66"/>
      <c r="H208" s="69"/>
      <c r="I208" s="69"/>
    </row>
    <row r="209">
      <c r="D209" s="66"/>
      <c r="E209" s="66"/>
      <c r="F209" s="66"/>
      <c r="G209" s="66"/>
      <c r="H209" s="69"/>
      <c r="I209" s="69"/>
    </row>
    <row r="210">
      <c r="D210" s="66"/>
      <c r="E210" s="66"/>
      <c r="F210" s="66"/>
      <c r="G210" s="66"/>
      <c r="H210" s="69"/>
      <c r="I210" s="69"/>
    </row>
    <row r="211">
      <c r="D211" s="66"/>
      <c r="E211" s="66"/>
      <c r="F211" s="66"/>
      <c r="G211" s="66"/>
      <c r="H211" s="69"/>
      <c r="I211" s="69"/>
    </row>
    <row r="212">
      <c r="D212" s="66"/>
      <c r="E212" s="66"/>
      <c r="F212" s="66"/>
      <c r="G212" s="66"/>
      <c r="H212" s="69"/>
      <c r="I212" s="69"/>
    </row>
    <row r="213">
      <c r="D213" s="66"/>
      <c r="E213" s="66"/>
      <c r="F213" s="66"/>
      <c r="G213" s="66"/>
      <c r="H213" s="69"/>
      <c r="I213" s="69"/>
    </row>
    <row r="214">
      <c r="D214" s="66"/>
      <c r="E214" s="66"/>
      <c r="F214" s="66"/>
      <c r="G214" s="66"/>
      <c r="H214" s="69"/>
      <c r="I214" s="69"/>
    </row>
    <row r="215">
      <c r="D215" s="66"/>
      <c r="E215" s="66"/>
      <c r="F215" s="66"/>
      <c r="G215" s="66"/>
      <c r="H215" s="69"/>
      <c r="I215" s="69"/>
    </row>
    <row r="216">
      <c r="D216" s="66"/>
      <c r="E216" s="66"/>
      <c r="F216" s="66"/>
      <c r="G216" s="66"/>
      <c r="H216" s="69"/>
      <c r="I216" s="69"/>
    </row>
    <row r="217">
      <c r="D217" s="66"/>
      <c r="E217" s="66"/>
      <c r="F217" s="66"/>
      <c r="G217" s="66"/>
      <c r="H217" s="69"/>
      <c r="I217" s="69"/>
    </row>
    <row r="218">
      <c r="D218" s="66"/>
      <c r="E218" s="66"/>
      <c r="F218" s="66"/>
      <c r="G218" s="66"/>
      <c r="H218" s="69"/>
      <c r="I218" s="69"/>
    </row>
    <row r="219">
      <c r="D219" s="66"/>
      <c r="E219" s="66"/>
      <c r="F219" s="66"/>
      <c r="G219" s="66"/>
      <c r="H219" s="69"/>
      <c r="I219" s="69"/>
    </row>
    <row r="220">
      <c r="D220" s="66"/>
      <c r="E220" s="66"/>
      <c r="F220" s="66"/>
      <c r="G220" s="66"/>
      <c r="H220" s="69"/>
      <c r="I220" s="69"/>
    </row>
    <row r="221">
      <c r="D221" s="66"/>
      <c r="E221" s="66"/>
      <c r="F221" s="66"/>
      <c r="G221" s="66"/>
      <c r="H221" s="69"/>
      <c r="I221" s="69"/>
    </row>
    <row r="222">
      <c r="D222" s="66"/>
      <c r="E222" s="66"/>
      <c r="F222" s="66"/>
      <c r="G222" s="66"/>
      <c r="H222" s="69"/>
      <c r="I222" s="69"/>
    </row>
    <row r="223">
      <c r="D223" s="66"/>
      <c r="E223" s="66"/>
      <c r="F223" s="66"/>
      <c r="G223" s="66"/>
      <c r="H223" s="69"/>
      <c r="I223" s="69"/>
    </row>
    <row r="224">
      <c r="D224" s="66"/>
      <c r="E224" s="66"/>
      <c r="F224" s="66"/>
      <c r="G224" s="66"/>
      <c r="H224" s="69"/>
      <c r="I224" s="69"/>
    </row>
    <row r="225">
      <c r="D225" s="66"/>
      <c r="E225" s="66"/>
      <c r="F225" s="66"/>
      <c r="G225" s="66"/>
      <c r="H225" s="69"/>
      <c r="I225" s="69"/>
    </row>
    <row r="226">
      <c r="D226" s="66"/>
      <c r="E226" s="66"/>
      <c r="F226" s="66"/>
      <c r="G226" s="66"/>
      <c r="H226" s="69"/>
      <c r="I226" s="69"/>
    </row>
    <row r="227">
      <c r="D227" s="66"/>
      <c r="E227" s="66"/>
      <c r="F227" s="66"/>
      <c r="G227" s="66"/>
      <c r="H227" s="69"/>
      <c r="I227" s="69"/>
    </row>
    <row r="228">
      <c r="D228" s="66"/>
      <c r="E228" s="66"/>
      <c r="F228" s="66"/>
      <c r="G228" s="66"/>
      <c r="H228" s="69"/>
      <c r="I228" s="69"/>
    </row>
    <row r="229">
      <c r="D229" s="66"/>
      <c r="E229" s="66"/>
      <c r="F229" s="66"/>
      <c r="G229" s="66"/>
      <c r="H229" s="69"/>
      <c r="I229" s="69"/>
    </row>
    <row r="230">
      <c r="D230" s="66"/>
      <c r="E230" s="66"/>
      <c r="F230" s="66"/>
      <c r="G230" s="66"/>
      <c r="H230" s="69"/>
      <c r="I230" s="69"/>
    </row>
    <row r="231">
      <c r="D231" s="66"/>
      <c r="E231" s="66"/>
      <c r="F231" s="66"/>
      <c r="G231" s="66"/>
      <c r="H231" s="69"/>
      <c r="I231" s="69"/>
    </row>
    <row r="232">
      <c r="D232" s="66"/>
      <c r="E232" s="66"/>
      <c r="F232" s="66"/>
      <c r="G232" s="66"/>
      <c r="H232" s="69"/>
      <c r="I232" s="69"/>
    </row>
    <row r="233">
      <c r="D233" s="66"/>
      <c r="E233" s="66"/>
      <c r="F233" s="66"/>
      <c r="G233" s="66"/>
      <c r="H233" s="69"/>
      <c r="I233" s="69"/>
    </row>
    <row r="234">
      <c r="D234" s="66"/>
      <c r="E234" s="66"/>
      <c r="F234" s="66"/>
      <c r="G234" s="66"/>
      <c r="H234" s="69"/>
      <c r="I234" s="69"/>
    </row>
    <row r="235">
      <c r="D235" s="66"/>
      <c r="E235" s="66"/>
      <c r="F235" s="66"/>
      <c r="G235" s="66"/>
      <c r="H235" s="69"/>
      <c r="I235" s="69"/>
    </row>
    <row r="236">
      <c r="D236" s="66"/>
      <c r="E236" s="66"/>
      <c r="F236" s="66"/>
      <c r="G236" s="66"/>
      <c r="H236" s="69"/>
      <c r="I236" s="69"/>
    </row>
    <row r="237">
      <c r="D237" s="66"/>
      <c r="E237" s="66"/>
      <c r="F237" s="66"/>
      <c r="G237" s="66"/>
      <c r="H237" s="69"/>
      <c r="I237" s="69"/>
    </row>
    <row r="238">
      <c r="D238" s="66"/>
      <c r="E238" s="66"/>
      <c r="F238" s="66"/>
      <c r="G238" s="66"/>
      <c r="H238" s="69"/>
      <c r="I238" s="69"/>
    </row>
    <row r="239">
      <c r="D239" s="66"/>
      <c r="E239" s="66"/>
      <c r="F239" s="66"/>
      <c r="G239" s="66"/>
      <c r="H239" s="69"/>
      <c r="I239" s="69"/>
    </row>
    <row r="240">
      <c r="D240" s="66"/>
      <c r="E240" s="66"/>
      <c r="F240" s="66"/>
      <c r="G240" s="66"/>
      <c r="H240" s="69"/>
      <c r="I240" s="69"/>
    </row>
    <row r="241">
      <c r="D241" s="66"/>
      <c r="E241" s="66"/>
      <c r="F241" s="66"/>
      <c r="G241" s="66"/>
      <c r="H241" s="69"/>
      <c r="I241" s="69"/>
    </row>
    <row r="242">
      <c r="D242" s="66"/>
      <c r="E242" s="66"/>
      <c r="F242" s="66"/>
      <c r="G242" s="66"/>
      <c r="H242" s="69"/>
      <c r="I242" s="69"/>
    </row>
    <row r="243">
      <c r="D243" s="66"/>
      <c r="E243" s="66"/>
      <c r="F243" s="66"/>
      <c r="G243" s="66"/>
      <c r="H243" s="69"/>
      <c r="I243" s="69"/>
    </row>
    <row r="244">
      <c r="D244" s="66"/>
      <c r="E244" s="66"/>
      <c r="F244" s="66"/>
      <c r="G244" s="66"/>
      <c r="H244" s="69"/>
      <c r="I244" s="69"/>
    </row>
    <row r="245">
      <c r="D245" s="66"/>
      <c r="E245" s="66"/>
      <c r="F245" s="66"/>
      <c r="G245" s="66"/>
      <c r="H245" s="69"/>
      <c r="I245" s="69"/>
    </row>
    <row r="246">
      <c r="D246" s="66"/>
      <c r="E246" s="66"/>
      <c r="F246" s="66"/>
      <c r="G246" s="66"/>
      <c r="H246" s="69"/>
      <c r="I246" s="69"/>
    </row>
    <row r="247">
      <c r="D247" s="66"/>
      <c r="E247" s="66"/>
      <c r="F247" s="66"/>
      <c r="G247" s="66"/>
      <c r="H247" s="69"/>
      <c r="I247" s="69"/>
    </row>
    <row r="248">
      <c r="D248" s="66"/>
      <c r="E248" s="66"/>
      <c r="F248" s="66"/>
      <c r="G248" s="66"/>
      <c r="H248" s="69"/>
      <c r="I248" s="69"/>
    </row>
    <row r="249">
      <c r="D249" s="66"/>
      <c r="E249" s="66"/>
      <c r="F249" s="66"/>
      <c r="G249" s="66"/>
      <c r="H249" s="69"/>
      <c r="I249" s="69"/>
    </row>
    <row r="250">
      <c r="D250" s="66"/>
      <c r="E250" s="66"/>
      <c r="F250" s="66"/>
      <c r="G250" s="66"/>
      <c r="H250" s="69"/>
      <c r="I250" s="69"/>
    </row>
    <row r="251">
      <c r="D251" s="66"/>
      <c r="E251" s="66"/>
      <c r="F251" s="66"/>
      <c r="G251" s="66"/>
      <c r="H251" s="69"/>
      <c r="I251" s="69"/>
    </row>
    <row r="252">
      <c r="D252" s="66"/>
      <c r="E252" s="66"/>
      <c r="F252" s="66"/>
      <c r="G252" s="66"/>
      <c r="H252" s="69"/>
      <c r="I252" s="69"/>
    </row>
    <row r="253">
      <c r="D253" s="66"/>
      <c r="E253" s="66"/>
      <c r="F253" s="66"/>
      <c r="G253" s="66"/>
      <c r="H253" s="69"/>
      <c r="I253" s="69"/>
    </row>
    <row r="254">
      <c r="D254" s="66"/>
      <c r="E254" s="66"/>
      <c r="F254" s="66"/>
      <c r="G254" s="66"/>
      <c r="H254" s="69"/>
      <c r="I254" s="69"/>
    </row>
    <row r="255">
      <c r="D255" s="66"/>
      <c r="E255" s="66"/>
      <c r="F255" s="66"/>
      <c r="G255" s="66"/>
      <c r="H255" s="69"/>
      <c r="I255" s="69"/>
    </row>
    <row r="256">
      <c r="D256" s="66"/>
      <c r="E256" s="66"/>
      <c r="F256" s="66"/>
      <c r="G256" s="66"/>
      <c r="H256" s="69"/>
      <c r="I256" s="69"/>
    </row>
    <row r="257">
      <c r="D257" s="66"/>
      <c r="E257" s="66"/>
      <c r="F257" s="66"/>
      <c r="G257" s="66"/>
      <c r="H257" s="69"/>
      <c r="I257" s="69"/>
    </row>
    <row r="258">
      <c r="D258" s="66"/>
      <c r="E258" s="66"/>
      <c r="F258" s="66"/>
      <c r="G258" s="66"/>
      <c r="H258" s="69"/>
      <c r="I258" s="69"/>
    </row>
    <row r="259">
      <c r="D259" s="66"/>
      <c r="E259" s="66"/>
      <c r="F259" s="66"/>
      <c r="G259" s="66"/>
      <c r="H259" s="69"/>
      <c r="I259" s="69"/>
    </row>
    <row r="260">
      <c r="D260" s="66"/>
      <c r="E260" s="66"/>
      <c r="F260" s="66"/>
      <c r="G260" s="66"/>
      <c r="H260" s="69"/>
      <c r="I260" s="69"/>
    </row>
    <row r="261">
      <c r="D261" s="66"/>
      <c r="E261" s="66"/>
      <c r="F261" s="66"/>
      <c r="G261" s="66"/>
      <c r="H261" s="69"/>
      <c r="I261" s="69"/>
    </row>
    <row r="262">
      <c r="D262" s="66"/>
      <c r="E262" s="66"/>
      <c r="F262" s="66"/>
      <c r="G262" s="66"/>
      <c r="H262" s="69"/>
      <c r="I262" s="69"/>
    </row>
    <row r="263">
      <c r="D263" s="66"/>
      <c r="E263" s="66"/>
      <c r="F263" s="66"/>
      <c r="G263" s="66"/>
      <c r="H263" s="69"/>
      <c r="I263" s="69"/>
    </row>
    <row r="264">
      <c r="D264" s="66"/>
      <c r="E264" s="66"/>
      <c r="F264" s="66"/>
      <c r="G264" s="66"/>
      <c r="H264" s="69"/>
      <c r="I264" s="69"/>
    </row>
    <row r="265">
      <c r="D265" s="66"/>
      <c r="E265" s="66"/>
      <c r="F265" s="66"/>
      <c r="G265" s="66"/>
      <c r="H265" s="69"/>
      <c r="I265" s="69"/>
    </row>
    <row r="266">
      <c r="D266" s="66"/>
      <c r="E266" s="66"/>
      <c r="F266" s="66"/>
      <c r="G266" s="66"/>
      <c r="H266" s="69"/>
      <c r="I266" s="69"/>
    </row>
    <row r="267">
      <c r="D267" s="66"/>
      <c r="E267" s="66"/>
      <c r="F267" s="66"/>
      <c r="G267" s="66"/>
      <c r="H267" s="69"/>
      <c r="I267" s="69"/>
    </row>
    <row r="268">
      <c r="D268" s="66"/>
      <c r="E268" s="66"/>
      <c r="F268" s="66"/>
      <c r="G268" s="66"/>
      <c r="H268" s="69"/>
      <c r="I268" s="69"/>
    </row>
    <row r="269">
      <c r="D269" s="66"/>
      <c r="E269" s="66"/>
      <c r="F269" s="66"/>
      <c r="G269" s="66"/>
      <c r="H269" s="69"/>
      <c r="I269" s="69"/>
    </row>
    <row r="270">
      <c r="D270" s="66"/>
      <c r="E270" s="66"/>
      <c r="F270" s="66"/>
      <c r="G270" s="66"/>
      <c r="H270" s="69"/>
      <c r="I270" s="69"/>
    </row>
    <row r="271">
      <c r="D271" s="66"/>
      <c r="E271" s="66"/>
      <c r="F271" s="66"/>
      <c r="G271" s="66"/>
      <c r="H271" s="69"/>
      <c r="I271" s="69"/>
    </row>
    <row r="272">
      <c r="D272" s="66"/>
      <c r="E272" s="66"/>
      <c r="F272" s="66"/>
      <c r="G272" s="66"/>
      <c r="H272" s="69"/>
      <c r="I272" s="69"/>
    </row>
    <row r="273">
      <c r="D273" s="66"/>
      <c r="E273" s="66"/>
      <c r="F273" s="66"/>
      <c r="G273" s="66"/>
      <c r="H273" s="69"/>
      <c r="I273" s="69"/>
    </row>
    <row r="274">
      <c r="D274" s="66"/>
      <c r="E274" s="66"/>
      <c r="F274" s="66"/>
      <c r="G274" s="66"/>
      <c r="H274" s="69"/>
      <c r="I274" s="69"/>
    </row>
    <row r="275">
      <c r="D275" s="66"/>
      <c r="E275" s="66"/>
      <c r="F275" s="66"/>
      <c r="G275" s="66"/>
      <c r="H275" s="69"/>
      <c r="I275" s="69"/>
    </row>
    <row r="276">
      <c r="D276" s="66"/>
      <c r="E276" s="66"/>
      <c r="F276" s="66"/>
      <c r="G276" s="66"/>
      <c r="H276" s="69"/>
      <c r="I276" s="69"/>
    </row>
    <row r="277">
      <c r="D277" s="66"/>
      <c r="E277" s="66"/>
      <c r="F277" s="66"/>
      <c r="G277" s="66"/>
      <c r="H277" s="69"/>
      <c r="I277" s="69"/>
    </row>
    <row r="278">
      <c r="D278" s="66"/>
      <c r="E278" s="66"/>
      <c r="F278" s="66"/>
      <c r="G278" s="66"/>
      <c r="H278" s="69"/>
      <c r="I278" s="69"/>
    </row>
    <row r="279">
      <c r="D279" s="66"/>
      <c r="E279" s="66"/>
      <c r="F279" s="66"/>
      <c r="G279" s="66"/>
      <c r="H279" s="69"/>
      <c r="I279" s="69"/>
    </row>
    <row r="280">
      <c r="D280" s="66"/>
      <c r="E280" s="66"/>
      <c r="F280" s="66"/>
      <c r="G280" s="66"/>
      <c r="H280" s="69"/>
      <c r="I280" s="69"/>
    </row>
    <row r="281">
      <c r="D281" s="66"/>
      <c r="E281" s="66"/>
      <c r="F281" s="66"/>
      <c r="G281" s="66"/>
      <c r="H281" s="69"/>
      <c r="I281" s="69"/>
    </row>
    <row r="282">
      <c r="D282" s="66"/>
      <c r="E282" s="66"/>
      <c r="F282" s="66"/>
      <c r="G282" s="66"/>
      <c r="H282" s="69"/>
      <c r="I282" s="69"/>
    </row>
    <row r="283">
      <c r="D283" s="66"/>
      <c r="E283" s="66"/>
      <c r="F283" s="66"/>
      <c r="G283" s="66"/>
      <c r="H283" s="69"/>
      <c r="I283" s="69"/>
    </row>
    <row r="284">
      <c r="D284" s="66"/>
      <c r="E284" s="66"/>
      <c r="F284" s="66"/>
      <c r="G284" s="66"/>
      <c r="H284" s="69"/>
      <c r="I284" s="69"/>
    </row>
    <row r="285">
      <c r="D285" s="66"/>
      <c r="E285" s="66"/>
      <c r="F285" s="66"/>
      <c r="G285" s="66"/>
      <c r="H285" s="69"/>
      <c r="I285" s="69"/>
    </row>
    <row r="286">
      <c r="D286" s="66"/>
      <c r="E286" s="66"/>
      <c r="F286" s="66"/>
      <c r="G286" s="66"/>
      <c r="H286" s="69"/>
      <c r="I286" s="69"/>
    </row>
    <row r="287">
      <c r="D287" s="66"/>
      <c r="E287" s="66"/>
      <c r="F287" s="66"/>
      <c r="G287" s="66"/>
      <c r="H287" s="69"/>
      <c r="I287" s="69"/>
    </row>
    <row r="288">
      <c r="D288" s="66"/>
      <c r="E288" s="66"/>
      <c r="F288" s="66"/>
      <c r="G288" s="66"/>
      <c r="H288" s="69"/>
      <c r="I288" s="69"/>
    </row>
    <row r="289">
      <c r="D289" s="66"/>
      <c r="E289" s="66"/>
      <c r="F289" s="66"/>
      <c r="G289" s="66"/>
      <c r="H289" s="69"/>
      <c r="I289" s="69"/>
    </row>
    <row r="290">
      <c r="D290" s="66"/>
      <c r="E290" s="66"/>
      <c r="F290" s="66"/>
      <c r="G290" s="66"/>
      <c r="H290" s="69"/>
      <c r="I290" s="69"/>
    </row>
    <row r="291">
      <c r="D291" s="66"/>
      <c r="E291" s="66"/>
      <c r="F291" s="66"/>
      <c r="G291" s="66"/>
      <c r="H291" s="69"/>
      <c r="I291" s="69"/>
    </row>
    <row r="292">
      <c r="D292" s="66"/>
      <c r="E292" s="66"/>
      <c r="F292" s="66"/>
      <c r="G292" s="66"/>
      <c r="H292" s="69"/>
      <c r="I292" s="69"/>
    </row>
    <row r="293">
      <c r="D293" s="66"/>
      <c r="E293" s="66"/>
      <c r="F293" s="66"/>
      <c r="G293" s="66"/>
      <c r="H293" s="69"/>
      <c r="I293" s="69"/>
    </row>
    <row r="294">
      <c r="D294" s="66"/>
      <c r="E294" s="66"/>
      <c r="F294" s="66"/>
      <c r="G294" s="66"/>
      <c r="H294" s="69"/>
      <c r="I294" s="69"/>
    </row>
    <row r="295">
      <c r="D295" s="66"/>
      <c r="E295" s="66"/>
      <c r="F295" s="66"/>
      <c r="G295" s="66"/>
      <c r="H295" s="69"/>
      <c r="I295" s="69"/>
    </row>
    <row r="296">
      <c r="D296" s="66"/>
      <c r="E296" s="66"/>
      <c r="F296" s="66"/>
      <c r="G296" s="66"/>
      <c r="H296" s="69"/>
      <c r="I296" s="69"/>
    </row>
    <row r="297">
      <c r="D297" s="66"/>
      <c r="E297" s="66"/>
      <c r="F297" s="66"/>
      <c r="G297" s="66"/>
      <c r="H297" s="69"/>
      <c r="I297" s="69"/>
    </row>
    <row r="298">
      <c r="D298" s="66"/>
      <c r="E298" s="66"/>
      <c r="F298" s="66"/>
      <c r="G298" s="66"/>
      <c r="H298" s="69"/>
      <c r="I298" s="69"/>
    </row>
    <row r="299">
      <c r="D299" s="66"/>
      <c r="E299" s="66"/>
      <c r="F299" s="66"/>
      <c r="G299" s="66"/>
      <c r="H299" s="69"/>
      <c r="I299" s="69"/>
    </row>
    <row r="300">
      <c r="D300" s="66"/>
      <c r="E300" s="66"/>
      <c r="F300" s="66"/>
      <c r="G300" s="66"/>
      <c r="H300" s="69"/>
      <c r="I300" s="69"/>
    </row>
    <row r="301">
      <c r="D301" s="66"/>
      <c r="E301" s="66"/>
      <c r="F301" s="66"/>
      <c r="G301" s="66"/>
      <c r="H301" s="69"/>
      <c r="I301" s="69"/>
    </row>
    <row r="302">
      <c r="D302" s="66"/>
      <c r="E302" s="66"/>
      <c r="F302" s="66"/>
      <c r="G302" s="66"/>
      <c r="H302" s="69"/>
      <c r="I302" s="69"/>
    </row>
    <row r="303">
      <c r="D303" s="66"/>
      <c r="E303" s="66"/>
      <c r="F303" s="66"/>
      <c r="G303" s="66"/>
      <c r="H303" s="69"/>
      <c r="I303" s="69"/>
    </row>
    <row r="304">
      <c r="D304" s="66"/>
      <c r="E304" s="66"/>
      <c r="F304" s="66"/>
      <c r="G304" s="66"/>
      <c r="H304" s="69"/>
      <c r="I304" s="69"/>
    </row>
    <row r="305">
      <c r="D305" s="66"/>
      <c r="E305" s="66"/>
      <c r="F305" s="66"/>
      <c r="G305" s="66"/>
      <c r="H305" s="69"/>
      <c r="I305" s="69"/>
    </row>
    <row r="306">
      <c r="D306" s="66"/>
      <c r="E306" s="66"/>
      <c r="F306" s="66"/>
      <c r="G306" s="66"/>
      <c r="H306" s="69"/>
      <c r="I306" s="69"/>
    </row>
    <row r="307">
      <c r="D307" s="66"/>
      <c r="E307" s="66"/>
      <c r="F307" s="66"/>
      <c r="G307" s="66"/>
      <c r="H307" s="69"/>
      <c r="I307" s="69"/>
    </row>
    <row r="308">
      <c r="D308" s="66"/>
      <c r="E308" s="66"/>
      <c r="F308" s="66"/>
      <c r="G308" s="66"/>
      <c r="H308" s="69"/>
      <c r="I308" s="69"/>
    </row>
    <row r="309">
      <c r="D309" s="66"/>
      <c r="E309" s="66"/>
      <c r="F309" s="66"/>
      <c r="G309" s="66"/>
      <c r="H309" s="69"/>
      <c r="I309" s="69"/>
    </row>
    <row r="310">
      <c r="D310" s="66"/>
      <c r="E310" s="66"/>
      <c r="F310" s="66"/>
      <c r="G310" s="66"/>
      <c r="H310" s="69"/>
      <c r="I310" s="69"/>
    </row>
    <row r="311">
      <c r="D311" s="66"/>
      <c r="E311" s="66"/>
      <c r="F311" s="66"/>
      <c r="G311" s="66"/>
      <c r="H311" s="69"/>
      <c r="I311" s="69"/>
    </row>
    <row r="312">
      <c r="D312" s="66"/>
      <c r="E312" s="66"/>
      <c r="F312" s="66"/>
      <c r="G312" s="66"/>
      <c r="H312" s="69"/>
      <c r="I312" s="69"/>
    </row>
    <row r="313">
      <c r="D313" s="66"/>
      <c r="E313" s="66"/>
      <c r="F313" s="66"/>
      <c r="G313" s="66"/>
      <c r="H313" s="69"/>
      <c r="I313" s="69"/>
    </row>
    <row r="314">
      <c r="D314" s="66"/>
      <c r="E314" s="66"/>
      <c r="F314" s="66"/>
      <c r="G314" s="66"/>
      <c r="H314" s="69"/>
      <c r="I314" s="69"/>
    </row>
    <row r="315">
      <c r="D315" s="66"/>
      <c r="E315" s="66"/>
      <c r="F315" s="66"/>
      <c r="G315" s="66"/>
      <c r="H315" s="69"/>
      <c r="I315" s="69"/>
    </row>
    <row r="316">
      <c r="D316" s="66"/>
      <c r="E316" s="66"/>
      <c r="F316" s="66"/>
      <c r="G316" s="66"/>
      <c r="H316" s="69"/>
      <c r="I316" s="69"/>
    </row>
    <row r="317">
      <c r="D317" s="66"/>
      <c r="E317" s="66"/>
      <c r="F317" s="66"/>
      <c r="G317" s="66"/>
      <c r="H317" s="69"/>
      <c r="I317" s="69"/>
    </row>
    <row r="318">
      <c r="D318" s="66"/>
      <c r="E318" s="66"/>
      <c r="F318" s="66"/>
      <c r="G318" s="66"/>
      <c r="H318" s="69"/>
      <c r="I318" s="69"/>
    </row>
    <row r="319">
      <c r="D319" s="66"/>
      <c r="E319" s="66"/>
      <c r="F319" s="66"/>
      <c r="G319" s="66"/>
      <c r="H319" s="69"/>
      <c r="I319" s="69"/>
    </row>
    <row r="320">
      <c r="D320" s="66"/>
      <c r="E320" s="66"/>
      <c r="F320" s="66"/>
      <c r="G320" s="66"/>
      <c r="H320" s="69"/>
      <c r="I320" s="69"/>
    </row>
    <row r="321">
      <c r="D321" s="66"/>
      <c r="E321" s="66"/>
      <c r="F321" s="66"/>
      <c r="G321" s="66"/>
      <c r="H321" s="69"/>
      <c r="I321" s="69"/>
    </row>
    <row r="322">
      <c r="D322" s="66"/>
      <c r="E322" s="66"/>
      <c r="F322" s="66"/>
      <c r="G322" s="66"/>
      <c r="H322" s="69"/>
      <c r="I322" s="69"/>
    </row>
    <row r="323">
      <c r="D323" s="66"/>
      <c r="E323" s="66"/>
      <c r="F323" s="66"/>
      <c r="G323" s="66"/>
      <c r="H323" s="69"/>
      <c r="I323" s="69"/>
    </row>
    <row r="324">
      <c r="D324" s="66"/>
      <c r="E324" s="66"/>
      <c r="F324" s="66"/>
      <c r="G324" s="66"/>
      <c r="H324" s="69"/>
      <c r="I324" s="69"/>
    </row>
    <row r="325">
      <c r="D325" s="66"/>
      <c r="E325" s="66"/>
      <c r="F325" s="66"/>
      <c r="G325" s="66"/>
      <c r="H325" s="69"/>
      <c r="I325" s="69"/>
    </row>
    <row r="326">
      <c r="D326" s="66"/>
      <c r="E326" s="66"/>
      <c r="F326" s="66"/>
      <c r="G326" s="66"/>
      <c r="H326" s="69"/>
      <c r="I326" s="69"/>
    </row>
    <row r="327">
      <c r="D327" s="66"/>
      <c r="E327" s="66"/>
      <c r="F327" s="66"/>
      <c r="G327" s="66"/>
      <c r="H327" s="69"/>
      <c r="I327" s="69"/>
    </row>
    <row r="328">
      <c r="D328" s="66"/>
      <c r="E328" s="66"/>
      <c r="F328" s="66"/>
      <c r="G328" s="66"/>
      <c r="H328" s="69"/>
      <c r="I328" s="69"/>
    </row>
    <row r="329">
      <c r="D329" s="66"/>
      <c r="E329" s="66"/>
      <c r="F329" s="66"/>
      <c r="G329" s="66"/>
      <c r="H329" s="69"/>
      <c r="I329" s="69"/>
    </row>
    <row r="330">
      <c r="D330" s="66"/>
      <c r="E330" s="66"/>
      <c r="F330" s="66"/>
      <c r="G330" s="66"/>
      <c r="H330" s="69"/>
      <c r="I330" s="69"/>
    </row>
    <row r="331">
      <c r="D331" s="66"/>
      <c r="E331" s="66"/>
      <c r="F331" s="66"/>
      <c r="G331" s="66"/>
      <c r="H331" s="69"/>
      <c r="I331" s="69"/>
    </row>
    <row r="332">
      <c r="D332" s="66"/>
      <c r="E332" s="66"/>
      <c r="F332" s="66"/>
      <c r="G332" s="66"/>
      <c r="H332" s="69"/>
      <c r="I332" s="69"/>
    </row>
    <row r="333">
      <c r="D333" s="66"/>
      <c r="E333" s="66"/>
      <c r="F333" s="66"/>
      <c r="G333" s="66"/>
      <c r="H333" s="69"/>
      <c r="I333" s="69"/>
    </row>
    <row r="334">
      <c r="D334" s="66"/>
      <c r="E334" s="66"/>
      <c r="F334" s="66"/>
      <c r="G334" s="66"/>
      <c r="H334" s="69"/>
      <c r="I334" s="69"/>
    </row>
    <row r="335">
      <c r="D335" s="66"/>
      <c r="E335" s="66"/>
      <c r="F335" s="66"/>
      <c r="G335" s="66"/>
      <c r="H335" s="69"/>
      <c r="I335" s="69"/>
    </row>
    <row r="336">
      <c r="D336" s="66"/>
      <c r="E336" s="66"/>
      <c r="F336" s="66"/>
      <c r="G336" s="66"/>
      <c r="H336" s="69"/>
      <c r="I336" s="69"/>
    </row>
    <row r="337">
      <c r="D337" s="66"/>
      <c r="E337" s="66"/>
      <c r="F337" s="66"/>
      <c r="G337" s="66"/>
      <c r="H337" s="69"/>
      <c r="I337" s="69"/>
    </row>
    <row r="338">
      <c r="D338" s="66"/>
      <c r="E338" s="66"/>
      <c r="F338" s="66"/>
      <c r="G338" s="66"/>
      <c r="H338" s="69"/>
      <c r="I338" s="69"/>
    </row>
    <row r="339">
      <c r="D339" s="66"/>
      <c r="E339" s="66"/>
      <c r="F339" s="66"/>
      <c r="G339" s="66"/>
      <c r="H339" s="69"/>
      <c r="I339" s="69"/>
    </row>
    <row r="340">
      <c r="D340" s="66"/>
      <c r="E340" s="66"/>
      <c r="F340" s="66"/>
      <c r="G340" s="66"/>
      <c r="H340" s="69"/>
      <c r="I340" s="69"/>
    </row>
    <row r="341">
      <c r="D341" s="66"/>
      <c r="E341" s="66"/>
      <c r="F341" s="66"/>
      <c r="G341" s="66"/>
      <c r="H341" s="69"/>
      <c r="I341" s="69"/>
    </row>
    <row r="342">
      <c r="D342" s="66"/>
      <c r="E342" s="66"/>
      <c r="F342" s="66"/>
      <c r="G342" s="66"/>
      <c r="H342" s="69"/>
      <c r="I342" s="69"/>
    </row>
    <row r="343">
      <c r="D343" s="66"/>
      <c r="E343" s="66"/>
      <c r="F343" s="66"/>
      <c r="G343" s="66"/>
      <c r="H343" s="69"/>
      <c r="I343" s="69"/>
    </row>
    <row r="344">
      <c r="D344" s="66"/>
      <c r="E344" s="66"/>
      <c r="F344" s="66"/>
      <c r="G344" s="66"/>
      <c r="H344" s="69"/>
      <c r="I344" s="69"/>
    </row>
    <row r="345">
      <c r="D345" s="66"/>
      <c r="E345" s="66"/>
      <c r="F345" s="66"/>
      <c r="G345" s="66"/>
      <c r="H345" s="69"/>
      <c r="I345" s="69"/>
    </row>
    <row r="346">
      <c r="D346" s="66"/>
      <c r="E346" s="66"/>
      <c r="F346" s="66"/>
      <c r="G346" s="66"/>
      <c r="H346" s="69"/>
      <c r="I346" s="69"/>
    </row>
    <row r="347">
      <c r="D347" s="66"/>
      <c r="E347" s="66"/>
      <c r="F347" s="66"/>
      <c r="G347" s="66"/>
      <c r="H347" s="69"/>
      <c r="I347" s="69"/>
    </row>
    <row r="348">
      <c r="D348" s="66"/>
      <c r="E348" s="66"/>
      <c r="F348" s="66"/>
      <c r="G348" s="66"/>
      <c r="H348" s="69"/>
      <c r="I348" s="69"/>
    </row>
    <row r="349">
      <c r="D349" s="66"/>
      <c r="E349" s="66"/>
      <c r="F349" s="66"/>
      <c r="G349" s="66"/>
      <c r="H349" s="69"/>
      <c r="I349" s="69"/>
    </row>
    <row r="350">
      <c r="D350" s="66"/>
      <c r="E350" s="66"/>
      <c r="F350" s="66"/>
      <c r="G350" s="66"/>
      <c r="H350" s="69"/>
      <c r="I350" s="69"/>
    </row>
    <row r="351">
      <c r="D351" s="66"/>
      <c r="E351" s="66"/>
      <c r="F351" s="66"/>
      <c r="G351" s="66"/>
      <c r="H351" s="69"/>
      <c r="I351" s="69"/>
    </row>
    <row r="352">
      <c r="D352" s="66"/>
      <c r="E352" s="66"/>
      <c r="F352" s="66"/>
      <c r="G352" s="66"/>
      <c r="H352" s="69"/>
      <c r="I352" s="69"/>
    </row>
    <row r="353">
      <c r="D353" s="66"/>
      <c r="E353" s="66"/>
      <c r="F353" s="66"/>
      <c r="G353" s="66"/>
      <c r="H353" s="69"/>
      <c r="I353" s="69"/>
    </row>
    <row r="354">
      <c r="D354" s="66"/>
      <c r="E354" s="66"/>
      <c r="F354" s="66"/>
      <c r="G354" s="66"/>
      <c r="H354" s="69"/>
      <c r="I354" s="69"/>
    </row>
    <row r="355">
      <c r="D355" s="66"/>
      <c r="E355" s="66"/>
      <c r="F355" s="66"/>
      <c r="G355" s="66"/>
      <c r="H355" s="69"/>
      <c r="I355" s="69"/>
    </row>
    <row r="356">
      <c r="D356" s="66"/>
      <c r="E356" s="66"/>
      <c r="F356" s="66"/>
      <c r="G356" s="66"/>
      <c r="H356" s="69"/>
      <c r="I356" s="69"/>
    </row>
    <row r="357">
      <c r="D357" s="66"/>
      <c r="E357" s="66"/>
      <c r="F357" s="66"/>
      <c r="G357" s="66"/>
      <c r="H357" s="69"/>
      <c r="I357" s="69"/>
    </row>
    <row r="358">
      <c r="D358" s="66"/>
      <c r="E358" s="66"/>
      <c r="F358" s="66"/>
      <c r="G358" s="66"/>
      <c r="H358" s="69"/>
      <c r="I358" s="69"/>
    </row>
    <row r="359">
      <c r="D359" s="66"/>
      <c r="E359" s="66"/>
      <c r="F359" s="66"/>
      <c r="G359" s="66"/>
      <c r="H359" s="69"/>
      <c r="I359" s="69"/>
    </row>
    <row r="360">
      <c r="D360" s="66"/>
      <c r="E360" s="66"/>
      <c r="F360" s="66"/>
      <c r="G360" s="66"/>
      <c r="H360" s="69"/>
      <c r="I360" s="69"/>
    </row>
    <row r="361">
      <c r="D361" s="66"/>
      <c r="E361" s="66"/>
      <c r="F361" s="66"/>
      <c r="G361" s="66"/>
      <c r="H361" s="69"/>
      <c r="I361" s="69"/>
    </row>
    <row r="362">
      <c r="D362" s="66"/>
      <c r="E362" s="66"/>
      <c r="F362" s="66"/>
      <c r="G362" s="66"/>
      <c r="H362" s="69"/>
      <c r="I362" s="69"/>
    </row>
    <row r="363">
      <c r="D363" s="66"/>
      <c r="E363" s="66"/>
      <c r="F363" s="66"/>
      <c r="G363" s="66"/>
      <c r="H363" s="69"/>
      <c r="I363" s="69"/>
    </row>
    <row r="364">
      <c r="D364" s="66"/>
      <c r="E364" s="66"/>
      <c r="F364" s="66"/>
      <c r="G364" s="66"/>
      <c r="H364" s="69"/>
      <c r="I364" s="69"/>
    </row>
    <row r="365">
      <c r="D365" s="66"/>
      <c r="E365" s="66"/>
      <c r="F365" s="66"/>
      <c r="G365" s="66"/>
      <c r="H365" s="69"/>
      <c r="I365" s="69"/>
    </row>
    <row r="366">
      <c r="D366" s="66"/>
      <c r="E366" s="66"/>
      <c r="F366" s="66"/>
      <c r="G366" s="66"/>
      <c r="H366" s="69"/>
      <c r="I366" s="69"/>
    </row>
    <row r="367">
      <c r="D367" s="66"/>
      <c r="E367" s="66"/>
      <c r="F367" s="66"/>
      <c r="G367" s="66"/>
      <c r="H367" s="69"/>
      <c r="I367" s="69"/>
    </row>
    <row r="368">
      <c r="D368" s="66"/>
      <c r="E368" s="66"/>
      <c r="F368" s="66"/>
      <c r="G368" s="66"/>
      <c r="H368" s="69"/>
      <c r="I368" s="69"/>
    </row>
    <row r="369">
      <c r="D369" s="66"/>
      <c r="E369" s="66"/>
      <c r="F369" s="66"/>
      <c r="G369" s="66"/>
      <c r="H369" s="69"/>
      <c r="I369" s="69"/>
    </row>
    <row r="370">
      <c r="D370" s="66"/>
      <c r="E370" s="66"/>
      <c r="F370" s="66"/>
      <c r="G370" s="66"/>
      <c r="H370" s="69"/>
      <c r="I370" s="69"/>
    </row>
    <row r="371">
      <c r="D371" s="66"/>
      <c r="E371" s="66"/>
      <c r="F371" s="66"/>
      <c r="G371" s="66"/>
      <c r="H371" s="69"/>
      <c r="I371" s="69"/>
    </row>
    <row r="372">
      <c r="D372" s="66"/>
      <c r="E372" s="66"/>
      <c r="F372" s="66"/>
      <c r="G372" s="66"/>
      <c r="H372" s="69"/>
      <c r="I372" s="69"/>
    </row>
    <row r="373">
      <c r="D373" s="66"/>
      <c r="E373" s="66"/>
      <c r="F373" s="66"/>
      <c r="G373" s="66"/>
      <c r="H373" s="69"/>
      <c r="I373" s="69"/>
    </row>
    <row r="374">
      <c r="D374" s="66"/>
      <c r="E374" s="66"/>
      <c r="F374" s="66"/>
      <c r="G374" s="66"/>
      <c r="H374" s="69"/>
      <c r="I374" s="69"/>
    </row>
    <row r="375">
      <c r="D375" s="66"/>
      <c r="E375" s="66"/>
      <c r="F375" s="66"/>
      <c r="G375" s="66"/>
      <c r="H375" s="69"/>
      <c r="I375" s="69"/>
    </row>
    <row r="376">
      <c r="D376" s="66"/>
      <c r="E376" s="66"/>
      <c r="F376" s="66"/>
      <c r="G376" s="66"/>
      <c r="H376" s="69"/>
      <c r="I376" s="69"/>
    </row>
    <row r="377">
      <c r="D377" s="66"/>
      <c r="E377" s="66"/>
      <c r="F377" s="66"/>
      <c r="G377" s="66"/>
      <c r="H377" s="69"/>
      <c r="I377" s="69"/>
    </row>
    <row r="378">
      <c r="D378" s="66"/>
      <c r="E378" s="66"/>
      <c r="F378" s="66"/>
      <c r="G378" s="66"/>
      <c r="H378" s="69"/>
      <c r="I378" s="69"/>
    </row>
    <row r="379">
      <c r="D379" s="66"/>
      <c r="E379" s="66"/>
      <c r="F379" s="66"/>
      <c r="G379" s="66"/>
      <c r="H379" s="69"/>
      <c r="I379" s="69"/>
    </row>
    <row r="380">
      <c r="D380" s="66"/>
      <c r="E380" s="66"/>
      <c r="F380" s="66"/>
      <c r="G380" s="66"/>
      <c r="H380" s="69"/>
      <c r="I380" s="69"/>
    </row>
    <row r="381">
      <c r="D381" s="66"/>
      <c r="E381" s="66"/>
      <c r="F381" s="66"/>
      <c r="G381" s="66"/>
      <c r="H381" s="69"/>
      <c r="I381" s="69"/>
    </row>
    <row r="382">
      <c r="D382" s="66"/>
      <c r="E382" s="66"/>
      <c r="F382" s="66"/>
      <c r="G382" s="66"/>
      <c r="H382" s="69"/>
      <c r="I382" s="69"/>
    </row>
    <row r="383">
      <c r="D383" s="66"/>
      <c r="E383" s="66"/>
      <c r="F383" s="66"/>
      <c r="G383" s="66"/>
      <c r="H383" s="69"/>
      <c r="I383" s="69"/>
    </row>
    <row r="384">
      <c r="D384" s="66"/>
      <c r="E384" s="66"/>
      <c r="F384" s="66"/>
      <c r="G384" s="66"/>
      <c r="H384" s="69"/>
      <c r="I384" s="69"/>
    </row>
    <row r="385">
      <c r="D385" s="66"/>
      <c r="E385" s="66"/>
      <c r="F385" s="66"/>
      <c r="G385" s="66"/>
      <c r="H385" s="69"/>
      <c r="I385" s="69"/>
    </row>
    <row r="386">
      <c r="D386" s="66"/>
      <c r="E386" s="66"/>
      <c r="F386" s="66"/>
      <c r="G386" s="66"/>
      <c r="H386" s="69"/>
      <c r="I386" s="69"/>
    </row>
    <row r="387">
      <c r="D387" s="66"/>
      <c r="E387" s="66"/>
      <c r="F387" s="66"/>
      <c r="G387" s="66"/>
      <c r="H387" s="69"/>
      <c r="I387" s="69"/>
    </row>
    <row r="388">
      <c r="D388" s="66"/>
      <c r="E388" s="66"/>
      <c r="F388" s="66"/>
      <c r="G388" s="66"/>
      <c r="H388" s="69"/>
      <c r="I388" s="69"/>
    </row>
    <row r="389">
      <c r="D389" s="66"/>
      <c r="E389" s="66"/>
      <c r="F389" s="66"/>
      <c r="G389" s="66"/>
      <c r="H389" s="69"/>
      <c r="I389" s="69"/>
    </row>
    <row r="390">
      <c r="D390" s="66"/>
      <c r="E390" s="66"/>
      <c r="F390" s="66"/>
      <c r="G390" s="66"/>
      <c r="H390" s="69"/>
      <c r="I390" s="69"/>
    </row>
    <row r="391">
      <c r="D391" s="66"/>
      <c r="E391" s="66"/>
      <c r="F391" s="66"/>
      <c r="G391" s="66"/>
      <c r="H391" s="69"/>
      <c r="I391" s="69"/>
    </row>
    <row r="392">
      <c r="D392" s="66"/>
      <c r="E392" s="66"/>
      <c r="F392" s="66"/>
      <c r="G392" s="66"/>
      <c r="H392" s="69"/>
      <c r="I392" s="69"/>
    </row>
    <row r="393">
      <c r="D393" s="66"/>
      <c r="E393" s="66"/>
      <c r="F393" s="66"/>
      <c r="G393" s="66"/>
      <c r="H393" s="69"/>
      <c r="I393" s="69"/>
    </row>
    <row r="394">
      <c r="D394" s="66"/>
      <c r="E394" s="66"/>
      <c r="F394" s="66"/>
      <c r="G394" s="66"/>
      <c r="H394" s="69"/>
      <c r="I394" s="69"/>
    </row>
    <row r="395">
      <c r="D395" s="66"/>
      <c r="E395" s="66"/>
      <c r="F395" s="66"/>
      <c r="G395" s="66"/>
      <c r="H395" s="69"/>
      <c r="I395" s="69"/>
    </row>
    <row r="396">
      <c r="D396" s="66"/>
      <c r="E396" s="66"/>
      <c r="F396" s="66"/>
      <c r="G396" s="66"/>
      <c r="H396" s="69"/>
      <c r="I396" s="69"/>
    </row>
    <row r="397">
      <c r="D397" s="66"/>
      <c r="E397" s="66"/>
      <c r="F397" s="66"/>
      <c r="G397" s="66"/>
      <c r="H397" s="69"/>
      <c r="I397" s="69"/>
    </row>
    <row r="398">
      <c r="D398" s="66"/>
      <c r="E398" s="66"/>
      <c r="F398" s="66"/>
      <c r="G398" s="66"/>
      <c r="H398" s="69"/>
      <c r="I398" s="69"/>
    </row>
    <row r="399">
      <c r="D399" s="66"/>
      <c r="E399" s="66"/>
      <c r="F399" s="66"/>
      <c r="G399" s="66"/>
      <c r="H399" s="69"/>
      <c r="I399" s="69"/>
    </row>
    <row r="400">
      <c r="D400" s="66"/>
      <c r="E400" s="66"/>
      <c r="F400" s="66"/>
      <c r="G400" s="66"/>
      <c r="H400" s="69"/>
      <c r="I400" s="69"/>
    </row>
    <row r="401">
      <c r="D401" s="66"/>
      <c r="E401" s="66"/>
      <c r="F401" s="66"/>
      <c r="G401" s="66"/>
      <c r="H401" s="69"/>
      <c r="I401" s="69"/>
    </row>
    <row r="402">
      <c r="D402" s="66"/>
      <c r="E402" s="66"/>
      <c r="F402" s="66"/>
      <c r="G402" s="66"/>
      <c r="H402" s="69"/>
      <c r="I402" s="69"/>
    </row>
    <row r="403">
      <c r="D403" s="66"/>
      <c r="E403" s="66"/>
      <c r="F403" s="66"/>
      <c r="G403" s="66"/>
      <c r="H403" s="69"/>
      <c r="I403" s="69"/>
    </row>
    <row r="404">
      <c r="D404" s="66"/>
      <c r="E404" s="66"/>
      <c r="F404" s="66"/>
      <c r="G404" s="66"/>
      <c r="H404" s="69"/>
      <c r="I404" s="69"/>
    </row>
    <row r="405">
      <c r="D405" s="66"/>
      <c r="E405" s="66"/>
      <c r="F405" s="66"/>
      <c r="G405" s="66"/>
      <c r="H405" s="69"/>
      <c r="I405" s="69"/>
    </row>
    <row r="406">
      <c r="D406" s="66"/>
      <c r="E406" s="66"/>
      <c r="F406" s="66"/>
      <c r="G406" s="66"/>
      <c r="H406" s="69"/>
      <c r="I406" s="69"/>
    </row>
    <row r="407">
      <c r="D407" s="66"/>
      <c r="E407" s="66"/>
      <c r="F407" s="66"/>
      <c r="G407" s="66"/>
      <c r="H407" s="69"/>
      <c r="I407" s="69"/>
    </row>
    <row r="408">
      <c r="D408" s="66"/>
      <c r="E408" s="66"/>
      <c r="F408" s="66"/>
      <c r="G408" s="66"/>
      <c r="H408" s="69"/>
      <c r="I408" s="69"/>
    </row>
    <row r="409">
      <c r="D409" s="66"/>
      <c r="E409" s="66"/>
      <c r="F409" s="66"/>
      <c r="G409" s="66"/>
      <c r="H409" s="69"/>
      <c r="I409" s="69"/>
    </row>
    <row r="410">
      <c r="D410" s="66"/>
      <c r="E410" s="66"/>
      <c r="F410" s="66"/>
      <c r="G410" s="66"/>
      <c r="H410" s="69"/>
      <c r="I410" s="69"/>
    </row>
    <row r="411">
      <c r="D411" s="66"/>
      <c r="E411" s="66"/>
      <c r="F411" s="66"/>
      <c r="G411" s="66"/>
      <c r="H411" s="69"/>
      <c r="I411" s="69"/>
    </row>
    <row r="412">
      <c r="D412" s="66"/>
      <c r="E412" s="66"/>
      <c r="F412" s="66"/>
      <c r="G412" s="66"/>
      <c r="H412" s="69"/>
      <c r="I412" s="69"/>
    </row>
    <row r="413">
      <c r="D413" s="66"/>
      <c r="E413" s="66"/>
      <c r="F413" s="66"/>
      <c r="G413" s="66"/>
      <c r="H413" s="69"/>
      <c r="I413" s="69"/>
    </row>
    <row r="414">
      <c r="D414" s="66"/>
      <c r="E414" s="66"/>
      <c r="F414" s="66"/>
      <c r="G414" s="66"/>
      <c r="H414" s="69"/>
      <c r="I414" s="69"/>
    </row>
    <row r="415">
      <c r="D415" s="66"/>
      <c r="E415" s="66"/>
      <c r="F415" s="66"/>
      <c r="G415" s="66"/>
      <c r="H415" s="69"/>
      <c r="I415" s="69"/>
    </row>
    <row r="416">
      <c r="D416" s="66"/>
      <c r="E416" s="66"/>
      <c r="F416" s="66"/>
      <c r="G416" s="66"/>
      <c r="H416" s="69"/>
      <c r="I416" s="69"/>
    </row>
    <row r="417">
      <c r="D417" s="66"/>
      <c r="E417" s="66"/>
      <c r="F417" s="66"/>
      <c r="G417" s="66"/>
      <c r="H417" s="69"/>
      <c r="I417" s="69"/>
    </row>
    <row r="418">
      <c r="D418" s="66"/>
      <c r="E418" s="66"/>
      <c r="F418" s="66"/>
      <c r="G418" s="66"/>
      <c r="H418" s="69"/>
      <c r="I418" s="69"/>
    </row>
    <row r="419">
      <c r="D419" s="66"/>
      <c r="E419" s="66"/>
      <c r="F419" s="66"/>
      <c r="G419" s="66"/>
      <c r="H419" s="69"/>
      <c r="I419" s="69"/>
    </row>
    <row r="420">
      <c r="D420" s="66"/>
      <c r="E420" s="66"/>
      <c r="F420" s="66"/>
      <c r="G420" s="66"/>
      <c r="H420" s="69"/>
      <c r="I420" s="69"/>
    </row>
    <row r="421">
      <c r="D421" s="66"/>
      <c r="E421" s="66"/>
      <c r="F421" s="66"/>
      <c r="G421" s="66"/>
      <c r="H421" s="69"/>
      <c r="I421" s="69"/>
    </row>
    <row r="422">
      <c r="D422" s="66"/>
      <c r="E422" s="66"/>
      <c r="F422" s="66"/>
      <c r="G422" s="66"/>
      <c r="H422" s="69"/>
      <c r="I422" s="69"/>
    </row>
    <row r="423">
      <c r="D423" s="66"/>
      <c r="E423" s="66"/>
      <c r="F423" s="66"/>
      <c r="G423" s="66"/>
      <c r="H423" s="69"/>
      <c r="I423" s="69"/>
    </row>
    <row r="424">
      <c r="D424" s="66"/>
      <c r="E424" s="66"/>
      <c r="F424" s="66"/>
      <c r="G424" s="66"/>
      <c r="H424" s="69"/>
      <c r="I424" s="69"/>
    </row>
    <row r="425">
      <c r="D425" s="66"/>
      <c r="E425" s="66"/>
      <c r="F425" s="66"/>
      <c r="G425" s="66"/>
      <c r="H425" s="69"/>
      <c r="I425" s="69"/>
    </row>
    <row r="426">
      <c r="D426" s="66"/>
      <c r="E426" s="66"/>
      <c r="F426" s="66"/>
      <c r="G426" s="66"/>
      <c r="H426" s="69"/>
      <c r="I426" s="69"/>
    </row>
    <row r="427">
      <c r="D427" s="66"/>
      <c r="E427" s="66"/>
      <c r="F427" s="66"/>
      <c r="G427" s="66"/>
      <c r="H427" s="69"/>
      <c r="I427" s="69"/>
    </row>
    <row r="428">
      <c r="D428" s="66"/>
      <c r="E428" s="66"/>
      <c r="F428" s="66"/>
      <c r="G428" s="66"/>
      <c r="H428" s="69"/>
      <c r="I428" s="69"/>
    </row>
    <row r="429">
      <c r="D429" s="66"/>
      <c r="E429" s="66"/>
      <c r="F429" s="66"/>
      <c r="G429" s="66"/>
      <c r="H429" s="69"/>
      <c r="I429" s="69"/>
    </row>
    <row r="430">
      <c r="D430" s="66"/>
      <c r="E430" s="66"/>
      <c r="F430" s="66"/>
      <c r="G430" s="66"/>
      <c r="H430" s="69"/>
      <c r="I430" s="69"/>
    </row>
    <row r="431">
      <c r="D431" s="66"/>
      <c r="E431" s="66"/>
      <c r="F431" s="66"/>
      <c r="G431" s="66"/>
      <c r="H431" s="69"/>
      <c r="I431" s="69"/>
    </row>
    <row r="432">
      <c r="D432" s="66"/>
      <c r="E432" s="66"/>
      <c r="F432" s="66"/>
      <c r="G432" s="66"/>
      <c r="H432" s="69"/>
      <c r="I432" s="69"/>
    </row>
    <row r="433">
      <c r="D433" s="66"/>
      <c r="E433" s="66"/>
      <c r="F433" s="66"/>
      <c r="G433" s="66"/>
      <c r="H433" s="69"/>
      <c r="I433" s="69"/>
    </row>
    <row r="434">
      <c r="D434" s="66"/>
      <c r="E434" s="66"/>
      <c r="F434" s="66"/>
      <c r="G434" s="66"/>
      <c r="H434" s="69"/>
      <c r="I434" s="69"/>
    </row>
    <row r="435">
      <c r="D435" s="66"/>
      <c r="E435" s="66"/>
      <c r="F435" s="66"/>
      <c r="G435" s="66"/>
      <c r="H435" s="69"/>
      <c r="I435" s="69"/>
    </row>
    <row r="436">
      <c r="D436" s="66"/>
      <c r="E436" s="66"/>
      <c r="F436" s="66"/>
      <c r="G436" s="66"/>
      <c r="H436" s="69"/>
      <c r="I436" s="69"/>
    </row>
    <row r="437">
      <c r="D437" s="66"/>
      <c r="E437" s="66"/>
      <c r="F437" s="66"/>
      <c r="G437" s="66"/>
      <c r="H437" s="69"/>
      <c r="I437" s="69"/>
    </row>
    <row r="438">
      <c r="D438" s="66"/>
      <c r="E438" s="66"/>
      <c r="F438" s="66"/>
      <c r="G438" s="66"/>
      <c r="H438" s="69"/>
      <c r="I438" s="69"/>
    </row>
    <row r="439">
      <c r="D439" s="66"/>
      <c r="E439" s="66"/>
      <c r="F439" s="66"/>
      <c r="G439" s="66"/>
      <c r="H439" s="69"/>
      <c r="I439" s="69"/>
    </row>
    <row r="440">
      <c r="D440" s="66"/>
      <c r="E440" s="66"/>
      <c r="F440" s="66"/>
      <c r="G440" s="66"/>
      <c r="H440" s="69"/>
      <c r="I440" s="69"/>
    </row>
    <row r="441">
      <c r="D441" s="66"/>
      <c r="E441" s="66"/>
      <c r="F441" s="66"/>
      <c r="G441" s="66"/>
      <c r="H441" s="69"/>
      <c r="I441" s="69"/>
    </row>
    <row r="442">
      <c r="D442" s="66"/>
      <c r="E442" s="66"/>
      <c r="F442" s="66"/>
      <c r="G442" s="66"/>
      <c r="H442" s="69"/>
      <c r="I442" s="69"/>
    </row>
    <row r="443">
      <c r="D443" s="66"/>
      <c r="E443" s="66"/>
      <c r="F443" s="66"/>
      <c r="G443" s="66"/>
      <c r="H443" s="69"/>
      <c r="I443" s="69"/>
    </row>
    <row r="444">
      <c r="D444" s="66"/>
      <c r="E444" s="66"/>
      <c r="F444" s="66"/>
      <c r="G444" s="66"/>
      <c r="H444" s="69"/>
      <c r="I444" s="69"/>
    </row>
    <row r="445">
      <c r="D445" s="66"/>
      <c r="E445" s="66"/>
      <c r="F445" s="66"/>
      <c r="G445" s="66"/>
      <c r="H445" s="69"/>
      <c r="I445" s="69"/>
    </row>
    <row r="446">
      <c r="D446" s="66"/>
      <c r="E446" s="66"/>
      <c r="F446" s="66"/>
      <c r="G446" s="66"/>
      <c r="H446" s="69"/>
      <c r="I446" s="69"/>
    </row>
    <row r="447">
      <c r="D447" s="66"/>
      <c r="E447" s="66"/>
      <c r="F447" s="66"/>
      <c r="G447" s="66"/>
      <c r="H447" s="69"/>
      <c r="I447" s="69"/>
    </row>
    <row r="448">
      <c r="D448" s="66"/>
      <c r="E448" s="66"/>
      <c r="F448" s="66"/>
      <c r="G448" s="66"/>
      <c r="H448" s="69"/>
      <c r="I448" s="69"/>
    </row>
    <row r="449">
      <c r="D449" s="66"/>
      <c r="E449" s="66"/>
      <c r="F449" s="66"/>
      <c r="G449" s="66"/>
      <c r="H449" s="69"/>
      <c r="I449" s="69"/>
    </row>
    <row r="450">
      <c r="D450" s="66"/>
      <c r="E450" s="66"/>
      <c r="F450" s="66"/>
      <c r="G450" s="66"/>
      <c r="H450" s="69"/>
      <c r="I450" s="69"/>
    </row>
    <row r="451">
      <c r="D451" s="66"/>
      <c r="E451" s="66"/>
      <c r="F451" s="66"/>
      <c r="G451" s="66"/>
      <c r="H451" s="69"/>
      <c r="I451" s="69"/>
    </row>
    <row r="452">
      <c r="D452" s="66"/>
      <c r="E452" s="66"/>
      <c r="F452" s="66"/>
      <c r="G452" s="66"/>
      <c r="H452" s="69"/>
      <c r="I452" s="69"/>
    </row>
    <row r="453">
      <c r="D453" s="66"/>
      <c r="E453" s="66"/>
      <c r="F453" s="66"/>
      <c r="G453" s="66"/>
      <c r="H453" s="69"/>
      <c r="I453" s="69"/>
    </row>
    <row r="454">
      <c r="D454" s="66"/>
      <c r="E454" s="66"/>
      <c r="F454" s="66"/>
      <c r="G454" s="66"/>
      <c r="H454" s="69"/>
      <c r="I454" s="69"/>
    </row>
    <row r="455">
      <c r="D455" s="66"/>
      <c r="E455" s="66"/>
      <c r="F455" s="66"/>
      <c r="G455" s="66"/>
      <c r="H455" s="69"/>
      <c r="I455" s="69"/>
    </row>
    <row r="456">
      <c r="D456" s="66"/>
      <c r="E456" s="66"/>
      <c r="F456" s="66"/>
      <c r="G456" s="66"/>
      <c r="H456" s="69"/>
      <c r="I456" s="69"/>
    </row>
    <row r="457">
      <c r="D457" s="66"/>
      <c r="E457" s="66"/>
      <c r="F457" s="66"/>
      <c r="G457" s="66"/>
      <c r="H457" s="69"/>
      <c r="I457" s="69"/>
    </row>
    <row r="458">
      <c r="D458" s="66"/>
      <c r="E458" s="66"/>
      <c r="F458" s="66"/>
      <c r="G458" s="66"/>
      <c r="H458" s="69"/>
      <c r="I458" s="69"/>
    </row>
    <row r="459">
      <c r="D459" s="66"/>
      <c r="E459" s="66"/>
      <c r="F459" s="66"/>
      <c r="G459" s="66"/>
      <c r="H459" s="69"/>
      <c r="I459" s="69"/>
    </row>
    <row r="460">
      <c r="D460" s="66"/>
      <c r="E460" s="66"/>
      <c r="F460" s="66"/>
      <c r="G460" s="66"/>
      <c r="H460" s="69"/>
      <c r="I460" s="69"/>
    </row>
    <row r="461">
      <c r="D461" s="66"/>
      <c r="E461" s="66"/>
      <c r="F461" s="66"/>
      <c r="G461" s="66"/>
      <c r="H461" s="69"/>
      <c r="I461" s="69"/>
    </row>
    <row r="462">
      <c r="D462" s="66"/>
      <c r="E462" s="66"/>
      <c r="F462" s="66"/>
      <c r="G462" s="66"/>
      <c r="H462" s="69"/>
      <c r="I462" s="69"/>
    </row>
    <row r="463">
      <c r="D463" s="66"/>
      <c r="E463" s="66"/>
      <c r="F463" s="66"/>
      <c r="G463" s="66"/>
      <c r="H463" s="69"/>
      <c r="I463" s="69"/>
    </row>
    <row r="464">
      <c r="D464" s="66"/>
      <c r="E464" s="66"/>
      <c r="F464" s="66"/>
      <c r="G464" s="66"/>
      <c r="H464" s="69"/>
      <c r="I464" s="69"/>
    </row>
    <row r="465">
      <c r="D465" s="66"/>
      <c r="E465" s="66"/>
      <c r="F465" s="66"/>
      <c r="G465" s="66"/>
      <c r="H465" s="69"/>
      <c r="I465" s="69"/>
    </row>
    <row r="466">
      <c r="D466" s="66"/>
      <c r="E466" s="66"/>
      <c r="F466" s="66"/>
      <c r="G466" s="66"/>
      <c r="H466" s="69"/>
      <c r="I466" s="69"/>
    </row>
    <row r="467">
      <c r="D467" s="66"/>
      <c r="E467" s="66"/>
      <c r="F467" s="66"/>
      <c r="G467" s="66"/>
      <c r="H467" s="69"/>
      <c r="I467" s="69"/>
    </row>
    <row r="468">
      <c r="D468" s="66"/>
      <c r="E468" s="66"/>
      <c r="F468" s="66"/>
      <c r="G468" s="66"/>
      <c r="H468" s="69"/>
      <c r="I468" s="69"/>
    </row>
    <row r="469">
      <c r="D469" s="66"/>
      <c r="E469" s="66"/>
      <c r="F469" s="66"/>
      <c r="G469" s="66"/>
      <c r="H469" s="69"/>
      <c r="I469" s="69"/>
    </row>
    <row r="470">
      <c r="D470" s="66"/>
      <c r="E470" s="66"/>
      <c r="F470" s="66"/>
      <c r="G470" s="66"/>
      <c r="H470" s="69"/>
      <c r="I470" s="69"/>
    </row>
    <row r="471">
      <c r="D471" s="66"/>
      <c r="E471" s="66"/>
      <c r="F471" s="66"/>
      <c r="G471" s="66"/>
      <c r="H471" s="69"/>
      <c r="I471" s="69"/>
    </row>
    <row r="472">
      <c r="D472" s="66"/>
      <c r="E472" s="66"/>
      <c r="F472" s="66"/>
      <c r="G472" s="66"/>
      <c r="H472" s="69"/>
      <c r="I472" s="69"/>
    </row>
    <row r="473">
      <c r="D473" s="66"/>
      <c r="E473" s="66"/>
      <c r="F473" s="66"/>
      <c r="G473" s="66"/>
      <c r="H473" s="69"/>
      <c r="I473" s="69"/>
    </row>
    <row r="474">
      <c r="D474" s="66"/>
      <c r="E474" s="66"/>
      <c r="F474" s="66"/>
      <c r="G474" s="66"/>
      <c r="H474" s="69"/>
      <c r="I474" s="69"/>
    </row>
    <row r="475">
      <c r="D475" s="66"/>
      <c r="E475" s="66"/>
      <c r="F475" s="66"/>
      <c r="G475" s="66"/>
      <c r="H475" s="69"/>
      <c r="I475" s="69"/>
    </row>
    <row r="476">
      <c r="D476" s="66"/>
      <c r="E476" s="66"/>
      <c r="F476" s="66"/>
      <c r="G476" s="66"/>
      <c r="H476" s="69"/>
      <c r="I476" s="69"/>
    </row>
    <row r="477">
      <c r="D477" s="66"/>
      <c r="E477" s="66"/>
      <c r="F477" s="66"/>
      <c r="G477" s="66"/>
      <c r="H477" s="69"/>
      <c r="I477" s="69"/>
    </row>
    <row r="478">
      <c r="D478" s="66"/>
      <c r="E478" s="66"/>
      <c r="F478" s="66"/>
      <c r="G478" s="66"/>
      <c r="H478" s="69"/>
      <c r="I478" s="69"/>
    </row>
    <row r="479">
      <c r="D479" s="66"/>
      <c r="E479" s="66"/>
      <c r="F479" s="66"/>
      <c r="G479" s="66"/>
      <c r="H479" s="69"/>
      <c r="I479" s="69"/>
    </row>
    <row r="480">
      <c r="D480" s="66"/>
      <c r="E480" s="66"/>
      <c r="F480" s="66"/>
      <c r="G480" s="66"/>
      <c r="H480" s="69"/>
      <c r="I480" s="69"/>
    </row>
    <row r="481">
      <c r="D481" s="66"/>
      <c r="E481" s="66"/>
      <c r="F481" s="66"/>
      <c r="G481" s="66"/>
      <c r="H481" s="69"/>
      <c r="I481" s="69"/>
    </row>
    <row r="482">
      <c r="D482" s="66"/>
      <c r="E482" s="66"/>
      <c r="F482" s="66"/>
      <c r="G482" s="66"/>
      <c r="H482" s="69"/>
      <c r="I482" s="69"/>
    </row>
    <row r="483">
      <c r="D483" s="66"/>
      <c r="E483" s="66"/>
      <c r="F483" s="66"/>
      <c r="G483" s="66"/>
      <c r="H483" s="69"/>
      <c r="I483" s="69"/>
    </row>
    <row r="484">
      <c r="D484" s="66"/>
      <c r="E484" s="66"/>
      <c r="F484" s="66"/>
      <c r="G484" s="66"/>
      <c r="H484" s="69"/>
      <c r="I484" s="69"/>
    </row>
    <row r="485">
      <c r="D485" s="66"/>
      <c r="E485" s="66"/>
      <c r="F485" s="66"/>
      <c r="G485" s="66"/>
      <c r="H485" s="69"/>
      <c r="I485" s="69"/>
    </row>
    <row r="486">
      <c r="D486" s="66"/>
      <c r="E486" s="66"/>
      <c r="F486" s="66"/>
      <c r="G486" s="66"/>
      <c r="H486" s="69"/>
      <c r="I486" s="69"/>
    </row>
    <row r="487">
      <c r="D487" s="66"/>
      <c r="E487" s="66"/>
      <c r="F487" s="66"/>
      <c r="G487" s="66"/>
      <c r="H487" s="69"/>
      <c r="I487" s="69"/>
    </row>
    <row r="488">
      <c r="D488" s="66"/>
      <c r="E488" s="66"/>
      <c r="F488" s="66"/>
      <c r="G488" s="66"/>
      <c r="H488" s="69"/>
      <c r="I488" s="69"/>
    </row>
    <row r="489">
      <c r="D489" s="66"/>
      <c r="E489" s="66"/>
      <c r="F489" s="66"/>
      <c r="G489" s="66"/>
      <c r="H489" s="69"/>
      <c r="I489" s="69"/>
    </row>
    <row r="490">
      <c r="D490" s="66"/>
      <c r="E490" s="66"/>
      <c r="F490" s="66"/>
      <c r="G490" s="66"/>
      <c r="H490" s="69"/>
      <c r="I490" s="69"/>
    </row>
    <row r="491">
      <c r="D491" s="66"/>
      <c r="E491" s="66"/>
      <c r="F491" s="66"/>
      <c r="G491" s="66"/>
      <c r="H491" s="69"/>
      <c r="I491" s="69"/>
    </row>
    <row r="492">
      <c r="D492" s="66"/>
      <c r="E492" s="66"/>
      <c r="F492" s="66"/>
      <c r="G492" s="66"/>
      <c r="H492" s="69"/>
      <c r="I492" s="69"/>
    </row>
    <row r="493">
      <c r="D493" s="66"/>
      <c r="E493" s="66"/>
      <c r="F493" s="66"/>
      <c r="G493" s="66"/>
      <c r="H493" s="69"/>
      <c r="I493" s="69"/>
    </row>
    <row r="494">
      <c r="D494" s="66"/>
      <c r="E494" s="66"/>
      <c r="F494" s="66"/>
      <c r="G494" s="66"/>
      <c r="H494" s="69"/>
      <c r="I494" s="69"/>
    </row>
    <row r="495">
      <c r="D495" s="66"/>
      <c r="E495" s="66"/>
      <c r="F495" s="66"/>
      <c r="G495" s="66"/>
      <c r="H495" s="69"/>
      <c r="I495" s="69"/>
    </row>
    <row r="496">
      <c r="D496" s="66"/>
      <c r="E496" s="66"/>
      <c r="F496" s="66"/>
      <c r="G496" s="66"/>
      <c r="H496" s="69"/>
      <c r="I496" s="69"/>
    </row>
    <row r="497">
      <c r="D497" s="66"/>
      <c r="E497" s="66"/>
      <c r="F497" s="66"/>
      <c r="G497" s="66"/>
      <c r="H497" s="69"/>
      <c r="I497" s="69"/>
    </row>
    <row r="498">
      <c r="D498" s="66"/>
      <c r="E498" s="66"/>
      <c r="F498" s="66"/>
      <c r="G498" s="66"/>
      <c r="H498" s="69"/>
      <c r="I498" s="69"/>
    </row>
    <row r="499">
      <c r="D499" s="66"/>
      <c r="E499" s="66"/>
      <c r="F499" s="66"/>
      <c r="G499" s="66"/>
      <c r="H499" s="69"/>
      <c r="I499" s="69"/>
    </row>
    <row r="500">
      <c r="D500" s="66"/>
      <c r="E500" s="66"/>
      <c r="F500" s="66"/>
      <c r="G500" s="66"/>
      <c r="H500" s="69"/>
      <c r="I500" s="69"/>
    </row>
    <row r="501">
      <c r="D501" s="66"/>
      <c r="E501" s="66"/>
      <c r="F501" s="66"/>
      <c r="G501" s="66"/>
      <c r="H501" s="69"/>
      <c r="I501" s="69"/>
    </row>
    <row r="502">
      <c r="D502" s="66"/>
      <c r="E502" s="66"/>
      <c r="F502" s="66"/>
      <c r="G502" s="66"/>
      <c r="H502" s="69"/>
      <c r="I502" s="69"/>
    </row>
    <row r="503">
      <c r="D503" s="66"/>
      <c r="E503" s="66"/>
      <c r="F503" s="66"/>
      <c r="G503" s="66"/>
      <c r="H503" s="69"/>
      <c r="I503" s="69"/>
    </row>
    <row r="504">
      <c r="D504" s="66"/>
      <c r="E504" s="66"/>
      <c r="F504" s="66"/>
      <c r="G504" s="66"/>
      <c r="H504" s="69"/>
      <c r="I504" s="69"/>
    </row>
    <row r="505">
      <c r="D505" s="66"/>
      <c r="E505" s="66"/>
      <c r="F505" s="66"/>
      <c r="G505" s="66"/>
      <c r="H505" s="69"/>
      <c r="I505" s="69"/>
    </row>
    <row r="506">
      <c r="D506" s="66"/>
      <c r="E506" s="66"/>
      <c r="F506" s="66"/>
      <c r="G506" s="66"/>
      <c r="H506" s="69"/>
      <c r="I506" s="69"/>
    </row>
    <row r="507">
      <c r="D507" s="66"/>
      <c r="E507" s="66"/>
      <c r="F507" s="66"/>
      <c r="G507" s="66"/>
      <c r="H507" s="69"/>
      <c r="I507" s="69"/>
    </row>
    <row r="508">
      <c r="D508" s="66"/>
      <c r="E508" s="66"/>
      <c r="F508" s="66"/>
      <c r="G508" s="66"/>
      <c r="H508" s="69"/>
      <c r="I508" s="69"/>
    </row>
    <row r="509">
      <c r="D509" s="66"/>
      <c r="E509" s="66"/>
      <c r="F509" s="66"/>
      <c r="G509" s="66"/>
      <c r="H509" s="69"/>
      <c r="I509" s="69"/>
    </row>
    <row r="510">
      <c r="D510" s="66"/>
      <c r="E510" s="66"/>
      <c r="F510" s="66"/>
      <c r="G510" s="66"/>
      <c r="H510" s="69"/>
      <c r="I510" s="69"/>
    </row>
    <row r="511">
      <c r="D511" s="66"/>
      <c r="E511" s="66"/>
      <c r="F511" s="66"/>
      <c r="G511" s="66"/>
      <c r="H511" s="69"/>
      <c r="I511" s="69"/>
    </row>
    <row r="512">
      <c r="D512" s="66"/>
      <c r="E512" s="66"/>
      <c r="F512" s="66"/>
      <c r="G512" s="66"/>
      <c r="H512" s="69"/>
      <c r="I512" s="69"/>
    </row>
    <row r="513">
      <c r="D513" s="66"/>
      <c r="E513" s="66"/>
      <c r="F513" s="66"/>
      <c r="G513" s="66"/>
      <c r="H513" s="69"/>
      <c r="I513" s="69"/>
    </row>
    <row r="514">
      <c r="D514" s="66"/>
      <c r="E514" s="66"/>
      <c r="F514" s="66"/>
      <c r="G514" s="66"/>
      <c r="H514" s="69"/>
      <c r="I514" s="69"/>
    </row>
    <row r="515">
      <c r="D515" s="66"/>
      <c r="E515" s="66"/>
      <c r="F515" s="66"/>
      <c r="G515" s="66"/>
      <c r="H515" s="69"/>
      <c r="I515" s="69"/>
    </row>
    <row r="516">
      <c r="D516" s="66"/>
      <c r="E516" s="66"/>
      <c r="F516" s="66"/>
      <c r="G516" s="66"/>
      <c r="H516" s="69"/>
      <c r="I516" s="69"/>
    </row>
    <row r="517">
      <c r="D517" s="66"/>
      <c r="E517" s="66"/>
      <c r="F517" s="66"/>
      <c r="G517" s="66"/>
      <c r="H517" s="69"/>
      <c r="I517" s="69"/>
    </row>
    <row r="518">
      <c r="D518" s="66"/>
      <c r="E518" s="66"/>
      <c r="F518" s="66"/>
      <c r="G518" s="66"/>
      <c r="H518" s="69"/>
      <c r="I518" s="69"/>
    </row>
    <row r="519">
      <c r="D519" s="66"/>
      <c r="E519" s="66"/>
      <c r="F519" s="66"/>
      <c r="G519" s="66"/>
      <c r="H519" s="69"/>
      <c r="I519" s="69"/>
    </row>
    <row r="520">
      <c r="D520" s="66"/>
      <c r="E520" s="66"/>
      <c r="F520" s="66"/>
      <c r="G520" s="66"/>
      <c r="H520" s="69"/>
      <c r="I520" s="69"/>
    </row>
    <row r="521">
      <c r="D521" s="66"/>
      <c r="E521" s="66"/>
      <c r="F521" s="66"/>
      <c r="G521" s="66"/>
      <c r="H521" s="69"/>
      <c r="I521" s="69"/>
    </row>
    <row r="522">
      <c r="D522" s="66"/>
      <c r="E522" s="66"/>
      <c r="F522" s="66"/>
      <c r="G522" s="66"/>
      <c r="H522" s="69"/>
      <c r="I522" s="69"/>
    </row>
    <row r="523">
      <c r="D523" s="66"/>
      <c r="E523" s="66"/>
      <c r="F523" s="66"/>
      <c r="G523" s="66"/>
      <c r="H523" s="69"/>
      <c r="I523" s="69"/>
    </row>
    <row r="524">
      <c r="D524" s="66"/>
      <c r="E524" s="66"/>
      <c r="F524" s="66"/>
      <c r="G524" s="66"/>
      <c r="H524" s="69"/>
      <c r="I524" s="69"/>
    </row>
    <row r="525">
      <c r="D525" s="66"/>
      <c r="E525" s="66"/>
      <c r="F525" s="66"/>
      <c r="G525" s="66"/>
      <c r="H525" s="69"/>
      <c r="I525" s="69"/>
    </row>
    <row r="526">
      <c r="D526" s="66"/>
      <c r="E526" s="66"/>
      <c r="F526" s="66"/>
      <c r="G526" s="66"/>
      <c r="H526" s="69"/>
      <c r="I526" s="69"/>
    </row>
    <row r="527">
      <c r="D527" s="66"/>
      <c r="E527" s="66"/>
      <c r="F527" s="66"/>
      <c r="G527" s="66"/>
      <c r="H527" s="69"/>
      <c r="I527" s="69"/>
    </row>
    <row r="528">
      <c r="D528" s="66"/>
      <c r="E528" s="66"/>
      <c r="F528" s="66"/>
      <c r="G528" s="66"/>
      <c r="H528" s="69"/>
      <c r="I528" s="69"/>
    </row>
    <row r="529">
      <c r="D529" s="66"/>
      <c r="E529" s="66"/>
      <c r="F529" s="66"/>
      <c r="G529" s="66"/>
      <c r="H529" s="69"/>
      <c r="I529" s="69"/>
    </row>
    <row r="530">
      <c r="D530" s="66"/>
      <c r="E530" s="66"/>
      <c r="F530" s="66"/>
      <c r="G530" s="66"/>
      <c r="H530" s="69"/>
      <c r="I530" s="69"/>
    </row>
    <row r="531">
      <c r="D531" s="66"/>
      <c r="E531" s="66"/>
      <c r="F531" s="66"/>
      <c r="G531" s="66"/>
      <c r="H531" s="69"/>
      <c r="I531" s="69"/>
    </row>
    <row r="532">
      <c r="D532" s="66"/>
      <c r="E532" s="66"/>
      <c r="F532" s="66"/>
      <c r="G532" s="66"/>
      <c r="H532" s="69"/>
      <c r="I532" s="69"/>
    </row>
    <row r="533">
      <c r="D533" s="66"/>
      <c r="E533" s="66"/>
      <c r="F533" s="66"/>
      <c r="G533" s="66"/>
      <c r="H533" s="69"/>
      <c r="I533" s="69"/>
    </row>
    <row r="534">
      <c r="D534" s="66"/>
      <c r="E534" s="66"/>
      <c r="F534" s="66"/>
      <c r="G534" s="66"/>
      <c r="H534" s="69"/>
      <c r="I534" s="69"/>
    </row>
    <row r="535">
      <c r="D535" s="66"/>
      <c r="E535" s="66"/>
      <c r="F535" s="66"/>
      <c r="G535" s="66"/>
      <c r="H535" s="69"/>
      <c r="I535" s="69"/>
    </row>
    <row r="536">
      <c r="D536" s="66"/>
      <c r="E536" s="66"/>
      <c r="F536" s="66"/>
      <c r="G536" s="66"/>
      <c r="H536" s="69"/>
      <c r="I536" s="69"/>
    </row>
    <row r="537">
      <c r="D537" s="66"/>
      <c r="E537" s="66"/>
      <c r="F537" s="66"/>
      <c r="G537" s="66"/>
      <c r="H537" s="69"/>
      <c r="I537" s="69"/>
    </row>
    <row r="538">
      <c r="D538" s="66"/>
      <c r="E538" s="66"/>
      <c r="F538" s="66"/>
      <c r="G538" s="66"/>
      <c r="H538" s="69"/>
      <c r="I538" s="69"/>
    </row>
    <row r="539">
      <c r="D539" s="66"/>
      <c r="E539" s="66"/>
      <c r="F539" s="66"/>
      <c r="G539" s="66"/>
      <c r="H539" s="69"/>
      <c r="I539" s="69"/>
    </row>
    <row r="540">
      <c r="D540" s="66"/>
      <c r="E540" s="66"/>
      <c r="F540" s="66"/>
      <c r="G540" s="66"/>
      <c r="H540" s="69"/>
      <c r="I540" s="69"/>
    </row>
    <row r="541">
      <c r="D541" s="66"/>
      <c r="E541" s="66"/>
      <c r="F541" s="66"/>
      <c r="G541" s="66"/>
      <c r="H541" s="69"/>
      <c r="I541" s="69"/>
    </row>
    <row r="542">
      <c r="D542" s="66"/>
      <c r="E542" s="66"/>
      <c r="F542" s="66"/>
      <c r="G542" s="66"/>
      <c r="H542" s="69"/>
      <c r="I542" s="69"/>
    </row>
    <row r="543">
      <c r="D543" s="66"/>
      <c r="E543" s="66"/>
      <c r="F543" s="66"/>
      <c r="G543" s="66"/>
      <c r="H543" s="69"/>
      <c r="I543" s="69"/>
    </row>
    <row r="544">
      <c r="D544" s="66"/>
      <c r="E544" s="66"/>
      <c r="F544" s="66"/>
      <c r="G544" s="66"/>
      <c r="H544" s="69"/>
      <c r="I544" s="69"/>
    </row>
    <row r="545">
      <c r="D545" s="66"/>
      <c r="E545" s="66"/>
      <c r="F545" s="66"/>
      <c r="G545" s="66"/>
      <c r="H545" s="69"/>
      <c r="I545" s="69"/>
    </row>
    <row r="546">
      <c r="D546" s="66"/>
      <c r="E546" s="66"/>
      <c r="F546" s="66"/>
      <c r="G546" s="66"/>
      <c r="H546" s="69"/>
      <c r="I546" s="69"/>
    </row>
    <row r="547">
      <c r="D547" s="66"/>
      <c r="E547" s="66"/>
      <c r="F547" s="66"/>
      <c r="G547" s="66"/>
      <c r="H547" s="69"/>
      <c r="I547" s="69"/>
    </row>
    <row r="548">
      <c r="D548" s="66"/>
      <c r="E548" s="66"/>
      <c r="F548" s="66"/>
      <c r="G548" s="66"/>
      <c r="H548" s="69"/>
      <c r="I548" s="69"/>
    </row>
    <row r="549">
      <c r="D549" s="66"/>
      <c r="E549" s="66"/>
      <c r="F549" s="66"/>
      <c r="G549" s="66"/>
      <c r="H549" s="69"/>
      <c r="I549" s="69"/>
    </row>
    <row r="550">
      <c r="D550" s="66"/>
      <c r="E550" s="66"/>
      <c r="F550" s="66"/>
      <c r="G550" s="66"/>
      <c r="H550" s="69"/>
      <c r="I550" s="69"/>
    </row>
    <row r="551">
      <c r="D551" s="66"/>
      <c r="E551" s="66"/>
      <c r="F551" s="66"/>
      <c r="G551" s="66"/>
      <c r="H551" s="69"/>
      <c r="I551" s="69"/>
    </row>
    <row r="552">
      <c r="D552" s="66"/>
      <c r="E552" s="66"/>
      <c r="F552" s="66"/>
      <c r="G552" s="66"/>
      <c r="H552" s="69"/>
      <c r="I552" s="69"/>
    </row>
    <row r="553">
      <c r="D553" s="66"/>
      <c r="E553" s="66"/>
      <c r="F553" s="66"/>
      <c r="G553" s="66"/>
      <c r="H553" s="69"/>
      <c r="I553" s="69"/>
    </row>
    <row r="554">
      <c r="D554" s="66"/>
      <c r="E554" s="66"/>
      <c r="F554" s="66"/>
      <c r="G554" s="66"/>
      <c r="H554" s="69"/>
      <c r="I554" s="69"/>
    </row>
    <row r="555">
      <c r="D555" s="66"/>
      <c r="E555" s="66"/>
      <c r="F555" s="66"/>
      <c r="G555" s="66"/>
      <c r="H555" s="69"/>
      <c r="I555" s="69"/>
    </row>
    <row r="556">
      <c r="D556" s="66"/>
      <c r="E556" s="66"/>
      <c r="F556" s="66"/>
      <c r="G556" s="66"/>
      <c r="H556" s="69"/>
      <c r="I556" s="69"/>
    </row>
    <row r="557">
      <c r="D557" s="66"/>
      <c r="E557" s="66"/>
      <c r="F557" s="66"/>
      <c r="G557" s="66"/>
      <c r="H557" s="69"/>
      <c r="I557" s="69"/>
    </row>
    <row r="558">
      <c r="D558" s="66"/>
      <c r="E558" s="66"/>
      <c r="F558" s="66"/>
      <c r="G558" s="66"/>
      <c r="H558" s="69"/>
      <c r="I558" s="69"/>
    </row>
    <row r="559">
      <c r="D559" s="66"/>
      <c r="E559" s="66"/>
      <c r="F559" s="66"/>
      <c r="G559" s="66"/>
      <c r="H559" s="69"/>
      <c r="I559" s="69"/>
    </row>
    <row r="560">
      <c r="D560" s="66"/>
      <c r="E560" s="66"/>
      <c r="F560" s="66"/>
      <c r="G560" s="66"/>
      <c r="H560" s="69"/>
      <c r="I560" s="69"/>
    </row>
    <row r="561">
      <c r="D561" s="66"/>
      <c r="E561" s="66"/>
      <c r="F561" s="66"/>
      <c r="G561" s="66"/>
      <c r="H561" s="69"/>
      <c r="I561" s="69"/>
    </row>
    <row r="562">
      <c r="D562" s="66"/>
      <c r="E562" s="66"/>
      <c r="F562" s="66"/>
      <c r="G562" s="66"/>
      <c r="H562" s="69"/>
      <c r="I562" s="69"/>
    </row>
    <row r="563">
      <c r="D563" s="66"/>
      <c r="E563" s="66"/>
      <c r="F563" s="66"/>
      <c r="G563" s="66"/>
      <c r="H563" s="69"/>
      <c r="I563" s="69"/>
    </row>
    <row r="564">
      <c r="D564" s="66"/>
      <c r="E564" s="66"/>
      <c r="F564" s="66"/>
      <c r="G564" s="66"/>
      <c r="H564" s="69"/>
      <c r="I564" s="69"/>
    </row>
    <row r="565">
      <c r="D565" s="66"/>
      <c r="E565" s="66"/>
      <c r="F565" s="66"/>
      <c r="G565" s="66"/>
      <c r="H565" s="69"/>
      <c r="I565" s="69"/>
    </row>
    <row r="566">
      <c r="D566" s="66"/>
      <c r="E566" s="66"/>
      <c r="F566" s="66"/>
      <c r="G566" s="66"/>
      <c r="H566" s="69"/>
      <c r="I566" s="69"/>
    </row>
    <row r="567">
      <c r="D567" s="66"/>
      <c r="E567" s="66"/>
      <c r="F567" s="66"/>
      <c r="G567" s="66"/>
      <c r="H567" s="69"/>
      <c r="I567" s="69"/>
    </row>
    <row r="568">
      <c r="D568" s="66"/>
      <c r="E568" s="66"/>
      <c r="F568" s="66"/>
      <c r="G568" s="66"/>
      <c r="H568" s="69"/>
      <c r="I568" s="69"/>
    </row>
    <row r="569">
      <c r="D569" s="66"/>
      <c r="E569" s="66"/>
      <c r="F569" s="66"/>
      <c r="G569" s="66"/>
      <c r="H569" s="69"/>
      <c r="I569" s="69"/>
    </row>
    <row r="570">
      <c r="D570" s="66"/>
      <c r="E570" s="66"/>
      <c r="F570" s="66"/>
      <c r="G570" s="66"/>
      <c r="H570" s="69"/>
      <c r="I570" s="69"/>
    </row>
    <row r="571">
      <c r="D571" s="66"/>
      <c r="E571" s="66"/>
      <c r="F571" s="66"/>
      <c r="G571" s="66"/>
      <c r="H571" s="69"/>
      <c r="I571" s="69"/>
    </row>
    <row r="572">
      <c r="D572" s="66"/>
      <c r="E572" s="66"/>
      <c r="F572" s="66"/>
      <c r="G572" s="66"/>
      <c r="H572" s="69"/>
      <c r="I572" s="69"/>
    </row>
    <row r="573">
      <c r="D573" s="66"/>
      <c r="E573" s="66"/>
      <c r="F573" s="66"/>
      <c r="G573" s="66"/>
      <c r="H573" s="69"/>
      <c r="I573" s="69"/>
    </row>
    <row r="574">
      <c r="D574" s="66"/>
      <c r="E574" s="66"/>
      <c r="F574" s="66"/>
      <c r="G574" s="66"/>
      <c r="H574" s="69"/>
      <c r="I574" s="69"/>
    </row>
    <row r="575">
      <c r="D575" s="66"/>
      <c r="E575" s="66"/>
      <c r="F575" s="66"/>
      <c r="G575" s="66"/>
      <c r="H575" s="69"/>
      <c r="I575" s="69"/>
    </row>
    <row r="576">
      <c r="D576" s="66"/>
      <c r="E576" s="66"/>
      <c r="F576" s="66"/>
      <c r="G576" s="66"/>
      <c r="H576" s="69"/>
      <c r="I576" s="69"/>
    </row>
    <row r="577">
      <c r="D577" s="66"/>
      <c r="E577" s="66"/>
      <c r="F577" s="66"/>
      <c r="G577" s="66"/>
      <c r="H577" s="69"/>
      <c r="I577" s="69"/>
    </row>
    <row r="578">
      <c r="D578" s="66"/>
      <c r="E578" s="66"/>
      <c r="F578" s="66"/>
      <c r="G578" s="66"/>
      <c r="H578" s="69"/>
      <c r="I578" s="69"/>
    </row>
    <row r="579">
      <c r="D579" s="66"/>
      <c r="E579" s="66"/>
      <c r="F579" s="66"/>
      <c r="G579" s="66"/>
      <c r="H579" s="69"/>
      <c r="I579" s="69"/>
    </row>
    <row r="580">
      <c r="D580" s="66"/>
      <c r="E580" s="66"/>
      <c r="F580" s="66"/>
      <c r="G580" s="66"/>
      <c r="H580" s="69"/>
      <c r="I580" s="69"/>
    </row>
    <row r="581">
      <c r="D581" s="66"/>
      <c r="E581" s="66"/>
      <c r="F581" s="66"/>
      <c r="G581" s="66"/>
      <c r="H581" s="69"/>
      <c r="I581" s="69"/>
    </row>
    <row r="582">
      <c r="D582" s="66"/>
      <c r="E582" s="66"/>
      <c r="F582" s="66"/>
      <c r="G582" s="66"/>
      <c r="H582" s="69"/>
      <c r="I582" s="69"/>
    </row>
    <row r="583">
      <c r="D583" s="66"/>
      <c r="E583" s="66"/>
      <c r="F583" s="66"/>
      <c r="G583" s="66"/>
      <c r="H583" s="69"/>
      <c r="I583" s="69"/>
    </row>
    <row r="584">
      <c r="D584" s="66"/>
      <c r="E584" s="66"/>
      <c r="F584" s="66"/>
      <c r="G584" s="66"/>
      <c r="H584" s="69"/>
      <c r="I584" s="69"/>
    </row>
    <row r="585">
      <c r="D585" s="66"/>
      <c r="E585" s="66"/>
      <c r="F585" s="66"/>
      <c r="G585" s="66"/>
      <c r="H585" s="69"/>
      <c r="I585" s="69"/>
    </row>
    <row r="586">
      <c r="D586" s="66"/>
      <c r="E586" s="66"/>
      <c r="F586" s="66"/>
      <c r="G586" s="66"/>
      <c r="H586" s="69"/>
      <c r="I586" s="69"/>
    </row>
    <row r="587">
      <c r="D587" s="66"/>
      <c r="E587" s="66"/>
      <c r="F587" s="66"/>
      <c r="G587" s="66"/>
      <c r="H587" s="69"/>
      <c r="I587" s="69"/>
    </row>
    <row r="588">
      <c r="D588" s="66"/>
      <c r="E588" s="66"/>
      <c r="F588" s="66"/>
      <c r="G588" s="66"/>
      <c r="H588" s="69"/>
      <c r="I588" s="69"/>
    </row>
    <row r="589">
      <c r="D589" s="66"/>
      <c r="E589" s="66"/>
      <c r="F589" s="66"/>
      <c r="G589" s="66"/>
      <c r="H589" s="69"/>
      <c r="I589" s="69"/>
    </row>
    <row r="590">
      <c r="D590" s="66"/>
      <c r="E590" s="66"/>
      <c r="F590" s="66"/>
      <c r="G590" s="66"/>
      <c r="H590" s="69"/>
      <c r="I590" s="69"/>
    </row>
    <row r="591">
      <c r="D591" s="66"/>
      <c r="E591" s="66"/>
      <c r="F591" s="66"/>
      <c r="G591" s="66"/>
      <c r="H591" s="69"/>
      <c r="I591" s="69"/>
    </row>
    <row r="592">
      <c r="D592" s="66"/>
      <c r="E592" s="66"/>
      <c r="F592" s="66"/>
      <c r="G592" s="66"/>
      <c r="H592" s="69"/>
      <c r="I592" s="69"/>
    </row>
    <row r="593">
      <c r="D593" s="66"/>
      <c r="E593" s="66"/>
      <c r="F593" s="66"/>
      <c r="G593" s="66"/>
      <c r="H593" s="69"/>
      <c r="I593" s="69"/>
    </row>
    <row r="594">
      <c r="D594" s="66"/>
      <c r="E594" s="66"/>
      <c r="F594" s="66"/>
      <c r="G594" s="66"/>
      <c r="H594" s="69"/>
      <c r="I594" s="69"/>
    </row>
    <row r="595">
      <c r="D595" s="66"/>
      <c r="E595" s="66"/>
      <c r="F595" s="66"/>
      <c r="G595" s="66"/>
      <c r="H595" s="69"/>
      <c r="I595" s="69"/>
    </row>
    <row r="596">
      <c r="D596" s="66"/>
      <c r="E596" s="66"/>
      <c r="F596" s="66"/>
      <c r="G596" s="66"/>
      <c r="H596" s="69"/>
      <c r="I596" s="69"/>
    </row>
    <row r="597">
      <c r="D597" s="66"/>
      <c r="E597" s="66"/>
      <c r="F597" s="66"/>
      <c r="G597" s="66"/>
      <c r="H597" s="69"/>
      <c r="I597" s="69"/>
    </row>
    <row r="598">
      <c r="D598" s="66"/>
      <c r="E598" s="66"/>
      <c r="F598" s="66"/>
      <c r="G598" s="66"/>
      <c r="H598" s="69"/>
      <c r="I598" s="69"/>
    </row>
    <row r="599">
      <c r="D599" s="66"/>
      <c r="E599" s="66"/>
      <c r="F599" s="66"/>
      <c r="G599" s="66"/>
      <c r="H599" s="69"/>
      <c r="I599" s="69"/>
    </row>
    <row r="600">
      <c r="D600" s="66"/>
      <c r="E600" s="66"/>
      <c r="F600" s="66"/>
      <c r="G600" s="66"/>
      <c r="H600" s="69"/>
      <c r="I600" s="69"/>
    </row>
    <row r="601">
      <c r="D601" s="66"/>
      <c r="E601" s="66"/>
      <c r="F601" s="66"/>
      <c r="G601" s="66"/>
      <c r="H601" s="69"/>
      <c r="I601" s="69"/>
    </row>
    <row r="602">
      <c r="D602" s="66"/>
      <c r="E602" s="66"/>
      <c r="F602" s="66"/>
      <c r="G602" s="66"/>
      <c r="H602" s="69"/>
      <c r="I602" s="69"/>
    </row>
    <row r="603">
      <c r="D603" s="66"/>
      <c r="E603" s="66"/>
      <c r="F603" s="66"/>
      <c r="G603" s="66"/>
      <c r="H603" s="69"/>
      <c r="I603" s="69"/>
    </row>
    <row r="604">
      <c r="D604" s="66"/>
      <c r="E604" s="66"/>
      <c r="F604" s="66"/>
      <c r="G604" s="66"/>
      <c r="H604" s="69"/>
      <c r="I604" s="69"/>
    </row>
    <row r="605">
      <c r="D605" s="66"/>
      <c r="E605" s="66"/>
      <c r="F605" s="66"/>
      <c r="G605" s="66"/>
      <c r="H605" s="69"/>
      <c r="I605" s="69"/>
    </row>
    <row r="606">
      <c r="D606" s="66"/>
      <c r="E606" s="66"/>
      <c r="F606" s="66"/>
      <c r="G606" s="66"/>
      <c r="H606" s="69"/>
      <c r="I606" s="69"/>
    </row>
    <row r="607">
      <c r="D607" s="66"/>
      <c r="E607" s="66"/>
      <c r="F607" s="66"/>
      <c r="G607" s="66"/>
      <c r="H607" s="69"/>
      <c r="I607" s="69"/>
    </row>
    <row r="608">
      <c r="D608" s="66"/>
      <c r="E608" s="66"/>
      <c r="F608" s="66"/>
      <c r="G608" s="66"/>
      <c r="H608" s="69"/>
      <c r="I608" s="69"/>
    </row>
    <row r="609">
      <c r="D609" s="66"/>
      <c r="E609" s="66"/>
      <c r="F609" s="66"/>
      <c r="G609" s="66"/>
      <c r="H609" s="69"/>
      <c r="I609" s="69"/>
    </row>
    <row r="610">
      <c r="D610" s="66"/>
      <c r="E610" s="66"/>
      <c r="F610" s="66"/>
      <c r="G610" s="66"/>
      <c r="H610" s="69"/>
      <c r="I610" s="69"/>
    </row>
    <row r="611">
      <c r="D611" s="66"/>
      <c r="E611" s="66"/>
      <c r="F611" s="66"/>
      <c r="G611" s="66"/>
      <c r="H611" s="69"/>
      <c r="I611" s="69"/>
    </row>
    <row r="612">
      <c r="D612" s="66"/>
      <c r="E612" s="66"/>
      <c r="F612" s="66"/>
      <c r="G612" s="66"/>
      <c r="H612" s="69"/>
      <c r="I612" s="69"/>
    </row>
    <row r="613">
      <c r="D613" s="66"/>
      <c r="E613" s="66"/>
      <c r="F613" s="66"/>
      <c r="G613" s="66"/>
      <c r="H613" s="69"/>
      <c r="I613" s="69"/>
    </row>
    <row r="614">
      <c r="D614" s="66"/>
      <c r="E614" s="66"/>
      <c r="F614" s="66"/>
      <c r="G614" s="66"/>
      <c r="H614" s="69"/>
      <c r="I614" s="69"/>
    </row>
    <row r="615">
      <c r="D615" s="66"/>
      <c r="E615" s="66"/>
      <c r="F615" s="66"/>
      <c r="G615" s="66"/>
      <c r="H615" s="69"/>
      <c r="I615" s="69"/>
    </row>
    <row r="616">
      <c r="D616" s="66"/>
      <c r="E616" s="66"/>
      <c r="F616" s="66"/>
      <c r="G616" s="66"/>
      <c r="H616" s="69"/>
      <c r="I616" s="69"/>
    </row>
    <row r="617">
      <c r="D617" s="66"/>
      <c r="E617" s="66"/>
      <c r="F617" s="66"/>
      <c r="G617" s="66"/>
      <c r="H617" s="69"/>
      <c r="I617" s="69"/>
    </row>
    <row r="618">
      <c r="D618" s="66"/>
      <c r="E618" s="66"/>
      <c r="F618" s="66"/>
      <c r="G618" s="66"/>
      <c r="H618" s="69"/>
      <c r="I618" s="69"/>
    </row>
    <row r="619">
      <c r="D619" s="66"/>
      <c r="E619" s="66"/>
      <c r="F619" s="66"/>
      <c r="G619" s="66"/>
      <c r="H619" s="69"/>
      <c r="I619" s="69"/>
    </row>
    <row r="620">
      <c r="D620" s="66"/>
      <c r="E620" s="66"/>
      <c r="F620" s="66"/>
      <c r="G620" s="66"/>
      <c r="H620" s="69"/>
      <c r="I620" s="69"/>
    </row>
    <row r="621">
      <c r="D621" s="66"/>
      <c r="E621" s="66"/>
      <c r="F621" s="66"/>
      <c r="G621" s="66"/>
      <c r="H621" s="69"/>
      <c r="I621" s="69"/>
    </row>
    <row r="622">
      <c r="D622" s="66"/>
      <c r="E622" s="66"/>
      <c r="F622" s="66"/>
      <c r="G622" s="66"/>
      <c r="H622" s="69"/>
      <c r="I622" s="69"/>
    </row>
    <row r="623">
      <c r="D623" s="66"/>
      <c r="E623" s="66"/>
      <c r="F623" s="66"/>
      <c r="G623" s="66"/>
      <c r="H623" s="69"/>
      <c r="I623" s="69"/>
    </row>
    <row r="624">
      <c r="D624" s="66"/>
      <c r="E624" s="66"/>
      <c r="F624" s="66"/>
      <c r="G624" s="66"/>
      <c r="H624" s="69"/>
      <c r="I624" s="69"/>
    </row>
    <row r="625">
      <c r="D625" s="66"/>
      <c r="E625" s="66"/>
      <c r="F625" s="66"/>
      <c r="G625" s="66"/>
      <c r="H625" s="69"/>
      <c r="I625" s="69"/>
    </row>
    <row r="626">
      <c r="D626" s="66"/>
      <c r="E626" s="66"/>
      <c r="F626" s="66"/>
      <c r="G626" s="66"/>
      <c r="H626" s="69"/>
      <c r="I626" s="69"/>
    </row>
    <row r="627">
      <c r="D627" s="66"/>
      <c r="E627" s="66"/>
      <c r="F627" s="66"/>
      <c r="G627" s="66"/>
      <c r="H627" s="69"/>
      <c r="I627" s="69"/>
    </row>
    <row r="628">
      <c r="D628" s="66"/>
      <c r="E628" s="66"/>
      <c r="F628" s="66"/>
      <c r="G628" s="66"/>
      <c r="H628" s="69"/>
      <c r="I628" s="69"/>
    </row>
    <row r="629">
      <c r="D629" s="66"/>
      <c r="E629" s="66"/>
      <c r="F629" s="66"/>
      <c r="G629" s="66"/>
      <c r="H629" s="69"/>
      <c r="I629" s="69"/>
    </row>
    <row r="630">
      <c r="D630" s="66"/>
      <c r="E630" s="66"/>
      <c r="F630" s="66"/>
      <c r="G630" s="66"/>
      <c r="H630" s="69"/>
      <c r="I630" s="69"/>
    </row>
    <row r="631">
      <c r="D631" s="66"/>
      <c r="E631" s="66"/>
      <c r="F631" s="66"/>
      <c r="G631" s="66"/>
      <c r="H631" s="69"/>
      <c r="I631" s="69"/>
    </row>
    <row r="632">
      <c r="D632" s="66"/>
      <c r="E632" s="66"/>
      <c r="F632" s="66"/>
      <c r="G632" s="66"/>
      <c r="H632" s="69"/>
      <c r="I632" s="69"/>
    </row>
    <row r="633">
      <c r="D633" s="66"/>
      <c r="E633" s="66"/>
      <c r="F633" s="66"/>
      <c r="G633" s="66"/>
      <c r="H633" s="69"/>
      <c r="I633" s="69"/>
    </row>
    <row r="634">
      <c r="D634" s="66"/>
      <c r="E634" s="66"/>
      <c r="F634" s="66"/>
      <c r="G634" s="66"/>
      <c r="H634" s="69"/>
      <c r="I634" s="69"/>
    </row>
    <row r="635">
      <c r="D635" s="66"/>
      <c r="E635" s="66"/>
      <c r="F635" s="66"/>
      <c r="G635" s="66"/>
      <c r="H635" s="69"/>
      <c r="I635" s="69"/>
    </row>
    <row r="636">
      <c r="D636" s="66"/>
      <c r="E636" s="66"/>
      <c r="F636" s="66"/>
      <c r="G636" s="66"/>
      <c r="H636" s="69"/>
      <c r="I636" s="69"/>
    </row>
    <row r="637">
      <c r="D637" s="66"/>
      <c r="E637" s="66"/>
      <c r="F637" s="66"/>
      <c r="G637" s="66"/>
      <c r="H637" s="69"/>
      <c r="I637" s="69"/>
    </row>
    <row r="638">
      <c r="D638" s="66"/>
      <c r="E638" s="66"/>
      <c r="F638" s="66"/>
      <c r="G638" s="66"/>
      <c r="H638" s="69"/>
      <c r="I638" s="69"/>
    </row>
    <row r="639">
      <c r="D639" s="66"/>
      <c r="E639" s="66"/>
      <c r="F639" s="66"/>
      <c r="G639" s="66"/>
      <c r="H639" s="69"/>
      <c r="I639" s="69"/>
    </row>
    <row r="640">
      <c r="D640" s="66"/>
      <c r="E640" s="66"/>
      <c r="F640" s="66"/>
      <c r="G640" s="66"/>
      <c r="H640" s="69"/>
      <c r="I640" s="69"/>
    </row>
    <row r="641">
      <c r="D641" s="66"/>
      <c r="E641" s="66"/>
      <c r="F641" s="66"/>
      <c r="G641" s="66"/>
      <c r="H641" s="69"/>
      <c r="I641" s="69"/>
    </row>
    <row r="642">
      <c r="D642" s="66"/>
      <c r="E642" s="66"/>
      <c r="F642" s="66"/>
      <c r="G642" s="66"/>
      <c r="H642" s="69"/>
      <c r="I642" s="69"/>
    </row>
    <row r="643">
      <c r="D643" s="66"/>
      <c r="E643" s="66"/>
      <c r="F643" s="66"/>
      <c r="G643" s="66"/>
      <c r="H643" s="69"/>
      <c r="I643" s="69"/>
    </row>
    <row r="644">
      <c r="D644" s="66"/>
      <c r="E644" s="66"/>
      <c r="F644" s="66"/>
      <c r="G644" s="66"/>
      <c r="H644" s="69"/>
      <c r="I644" s="69"/>
    </row>
    <row r="645">
      <c r="D645" s="66"/>
      <c r="E645" s="66"/>
      <c r="F645" s="66"/>
      <c r="G645" s="66"/>
      <c r="H645" s="69"/>
      <c r="I645" s="69"/>
    </row>
    <row r="646">
      <c r="D646" s="66"/>
      <c r="E646" s="66"/>
      <c r="F646" s="66"/>
      <c r="G646" s="66"/>
      <c r="H646" s="69"/>
      <c r="I646" s="69"/>
    </row>
    <row r="647">
      <c r="D647" s="66"/>
      <c r="E647" s="66"/>
      <c r="F647" s="66"/>
      <c r="G647" s="66"/>
      <c r="H647" s="69"/>
      <c r="I647" s="69"/>
    </row>
    <row r="648">
      <c r="D648" s="66"/>
      <c r="E648" s="66"/>
      <c r="F648" s="66"/>
      <c r="G648" s="66"/>
      <c r="H648" s="69"/>
      <c r="I648" s="69"/>
    </row>
    <row r="649">
      <c r="D649" s="66"/>
      <c r="E649" s="66"/>
      <c r="F649" s="66"/>
      <c r="G649" s="66"/>
      <c r="H649" s="69"/>
      <c r="I649" s="69"/>
    </row>
    <row r="650">
      <c r="D650" s="66"/>
      <c r="E650" s="66"/>
      <c r="F650" s="66"/>
      <c r="G650" s="66"/>
      <c r="H650" s="69"/>
      <c r="I650" s="69"/>
    </row>
    <row r="651">
      <c r="D651" s="66"/>
      <c r="E651" s="66"/>
      <c r="F651" s="66"/>
      <c r="G651" s="66"/>
      <c r="H651" s="69"/>
      <c r="I651" s="69"/>
    </row>
    <row r="652">
      <c r="D652" s="66"/>
      <c r="E652" s="66"/>
      <c r="F652" s="66"/>
      <c r="G652" s="66"/>
      <c r="H652" s="69"/>
      <c r="I652" s="69"/>
    </row>
    <row r="653">
      <c r="D653" s="66"/>
      <c r="E653" s="66"/>
      <c r="F653" s="66"/>
      <c r="G653" s="66"/>
      <c r="H653" s="69"/>
      <c r="I653" s="69"/>
    </row>
    <row r="654">
      <c r="D654" s="66"/>
      <c r="E654" s="66"/>
      <c r="F654" s="66"/>
      <c r="G654" s="66"/>
      <c r="H654" s="69"/>
      <c r="I654" s="69"/>
    </row>
    <row r="655">
      <c r="D655" s="66"/>
      <c r="E655" s="66"/>
      <c r="F655" s="66"/>
      <c r="G655" s="66"/>
      <c r="H655" s="69"/>
      <c r="I655" s="69"/>
    </row>
    <row r="656">
      <c r="D656" s="66"/>
      <c r="E656" s="66"/>
      <c r="F656" s="66"/>
      <c r="G656" s="66"/>
      <c r="H656" s="69"/>
      <c r="I656" s="69"/>
    </row>
    <row r="657">
      <c r="D657" s="66"/>
      <c r="E657" s="66"/>
      <c r="F657" s="66"/>
      <c r="G657" s="66"/>
      <c r="H657" s="69"/>
      <c r="I657" s="69"/>
    </row>
    <row r="658">
      <c r="D658" s="66"/>
      <c r="E658" s="66"/>
      <c r="F658" s="66"/>
      <c r="G658" s="66"/>
      <c r="H658" s="69"/>
      <c r="I658" s="69"/>
    </row>
    <row r="659">
      <c r="D659" s="66"/>
      <c r="E659" s="66"/>
      <c r="F659" s="66"/>
      <c r="G659" s="66"/>
      <c r="H659" s="69"/>
      <c r="I659" s="69"/>
    </row>
    <row r="660">
      <c r="D660" s="66"/>
      <c r="E660" s="66"/>
      <c r="F660" s="66"/>
      <c r="G660" s="66"/>
      <c r="H660" s="69"/>
      <c r="I660" s="69"/>
    </row>
    <row r="661">
      <c r="D661" s="66"/>
      <c r="E661" s="66"/>
      <c r="F661" s="66"/>
      <c r="G661" s="66"/>
      <c r="H661" s="69"/>
      <c r="I661" s="69"/>
    </row>
    <row r="662">
      <c r="D662" s="66"/>
      <c r="E662" s="66"/>
      <c r="F662" s="66"/>
      <c r="G662" s="66"/>
      <c r="H662" s="69"/>
      <c r="I662" s="69"/>
    </row>
    <row r="663">
      <c r="D663" s="66"/>
      <c r="E663" s="66"/>
      <c r="F663" s="66"/>
      <c r="G663" s="66"/>
      <c r="H663" s="69"/>
      <c r="I663" s="69"/>
    </row>
    <row r="664">
      <c r="D664" s="66"/>
      <c r="E664" s="66"/>
      <c r="F664" s="66"/>
      <c r="G664" s="66"/>
      <c r="H664" s="69"/>
      <c r="I664" s="69"/>
    </row>
    <row r="665">
      <c r="D665" s="66"/>
      <c r="E665" s="66"/>
      <c r="F665" s="66"/>
      <c r="G665" s="66"/>
      <c r="H665" s="69"/>
      <c r="I665" s="69"/>
    </row>
    <row r="666">
      <c r="D666" s="66"/>
      <c r="E666" s="66"/>
      <c r="F666" s="66"/>
      <c r="G666" s="66"/>
      <c r="H666" s="69"/>
      <c r="I666" s="69"/>
    </row>
    <row r="667">
      <c r="D667" s="66"/>
      <c r="E667" s="66"/>
      <c r="F667" s="66"/>
      <c r="G667" s="66"/>
      <c r="H667" s="69"/>
      <c r="I667" s="69"/>
    </row>
    <row r="668">
      <c r="D668" s="66"/>
      <c r="E668" s="66"/>
      <c r="F668" s="66"/>
      <c r="G668" s="66"/>
      <c r="H668" s="69"/>
      <c r="I668" s="69"/>
    </row>
    <row r="669">
      <c r="D669" s="66"/>
      <c r="E669" s="66"/>
      <c r="F669" s="66"/>
      <c r="G669" s="66"/>
      <c r="H669" s="69"/>
      <c r="I669" s="69"/>
    </row>
    <row r="670">
      <c r="D670" s="66"/>
      <c r="E670" s="66"/>
      <c r="F670" s="66"/>
      <c r="G670" s="66"/>
      <c r="H670" s="69"/>
      <c r="I670" s="69"/>
    </row>
    <row r="671">
      <c r="D671" s="66"/>
      <c r="E671" s="66"/>
      <c r="F671" s="66"/>
      <c r="G671" s="66"/>
      <c r="H671" s="69"/>
      <c r="I671" s="69"/>
    </row>
    <row r="672">
      <c r="D672" s="66"/>
      <c r="E672" s="66"/>
      <c r="F672" s="66"/>
      <c r="G672" s="66"/>
      <c r="H672" s="69"/>
      <c r="I672" s="69"/>
    </row>
    <row r="673">
      <c r="D673" s="66"/>
      <c r="E673" s="66"/>
      <c r="F673" s="66"/>
      <c r="G673" s="66"/>
      <c r="H673" s="69"/>
      <c r="I673" s="69"/>
    </row>
    <row r="674">
      <c r="D674" s="66"/>
      <c r="E674" s="66"/>
      <c r="F674" s="66"/>
      <c r="G674" s="66"/>
      <c r="H674" s="69"/>
      <c r="I674" s="69"/>
    </row>
    <row r="675">
      <c r="D675" s="66"/>
      <c r="E675" s="66"/>
      <c r="F675" s="66"/>
      <c r="G675" s="66"/>
      <c r="H675" s="69"/>
      <c r="I675" s="69"/>
    </row>
    <row r="676">
      <c r="D676" s="66"/>
      <c r="E676" s="66"/>
      <c r="F676" s="66"/>
      <c r="G676" s="66"/>
      <c r="H676" s="69"/>
      <c r="I676" s="69"/>
    </row>
    <row r="677">
      <c r="D677" s="66"/>
      <c r="E677" s="66"/>
      <c r="F677" s="66"/>
      <c r="G677" s="66"/>
      <c r="H677" s="69"/>
      <c r="I677" s="69"/>
    </row>
    <row r="678">
      <c r="D678" s="66"/>
      <c r="E678" s="66"/>
      <c r="F678" s="66"/>
      <c r="G678" s="66"/>
      <c r="H678" s="69"/>
      <c r="I678" s="69"/>
    </row>
    <row r="679">
      <c r="D679" s="66"/>
      <c r="E679" s="66"/>
      <c r="F679" s="66"/>
      <c r="G679" s="66"/>
      <c r="H679" s="69"/>
      <c r="I679" s="69"/>
    </row>
    <row r="680">
      <c r="D680" s="66"/>
      <c r="E680" s="66"/>
      <c r="F680" s="66"/>
      <c r="G680" s="66"/>
      <c r="H680" s="69"/>
      <c r="I680" s="69"/>
    </row>
    <row r="681">
      <c r="D681" s="66"/>
      <c r="E681" s="66"/>
      <c r="F681" s="66"/>
      <c r="G681" s="66"/>
      <c r="H681" s="69"/>
      <c r="I681" s="69"/>
    </row>
    <row r="682">
      <c r="D682" s="66"/>
      <c r="E682" s="66"/>
      <c r="F682" s="66"/>
      <c r="G682" s="66"/>
      <c r="H682" s="69"/>
      <c r="I682" s="69"/>
    </row>
    <row r="683">
      <c r="D683" s="66"/>
      <c r="E683" s="66"/>
      <c r="F683" s="66"/>
      <c r="G683" s="66"/>
      <c r="H683" s="69"/>
      <c r="I683" s="69"/>
    </row>
    <row r="684">
      <c r="D684" s="66"/>
      <c r="E684" s="66"/>
      <c r="F684" s="66"/>
      <c r="G684" s="66"/>
      <c r="H684" s="69"/>
      <c r="I684" s="69"/>
    </row>
    <row r="685">
      <c r="D685" s="66"/>
      <c r="E685" s="66"/>
      <c r="F685" s="66"/>
      <c r="G685" s="66"/>
      <c r="H685" s="69"/>
      <c r="I685" s="69"/>
    </row>
    <row r="686">
      <c r="D686" s="66"/>
      <c r="E686" s="66"/>
      <c r="F686" s="66"/>
      <c r="G686" s="66"/>
      <c r="H686" s="69"/>
      <c r="I686" s="69"/>
    </row>
    <row r="687">
      <c r="D687" s="66"/>
      <c r="E687" s="66"/>
      <c r="F687" s="66"/>
      <c r="G687" s="66"/>
      <c r="H687" s="69"/>
      <c r="I687" s="69"/>
    </row>
    <row r="688">
      <c r="D688" s="66"/>
      <c r="E688" s="66"/>
      <c r="F688" s="66"/>
      <c r="G688" s="66"/>
      <c r="H688" s="69"/>
      <c r="I688" s="69"/>
    </row>
    <row r="689">
      <c r="D689" s="66"/>
      <c r="E689" s="66"/>
      <c r="F689" s="66"/>
      <c r="G689" s="66"/>
      <c r="H689" s="69"/>
      <c r="I689" s="69"/>
    </row>
    <row r="690">
      <c r="D690" s="66"/>
      <c r="E690" s="66"/>
      <c r="F690" s="66"/>
      <c r="G690" s="66"/>
      <c r="H690" s="69"/>
      <c r="I690" s="69"/>
    </row>
    <row r="691">
      <c r="D691" s="66"/>
      <c r="E691" s="66"/>
      <c r="F691" s="66"/>
      <c r="G691" s="66"/>
      <c r="H691" s="69"/>
      <c r="I691" s="69"/>
    </row>
    <row r="692">
      <c r="D692" s="66"/>
      <c r="E692" s="66"/>
      <c r="F692" s="66"/>
      <c r="G692" s="66"/>
      <c r="H692" s="69"/>
      <c r="I692" s="69"/>
    </row>
    <row r="693">
      <c r="D693" s="66"/>
      <c r="E693" s="66"/>
      <c r="F693" s="66"/>
      <c r="G693" s="66"/>
      <c r="H693" s="69"/>
      <c r="I693" s="69"/>
    </row>
    <row r="694">
      <c r="D694" s="66"/>
      <c r="E694" s="66"/>
      <c r="F694" s="66"/>
      <c r="G694" s="66"/>
      <c r="H694" s="69"/>
      <c r="I694" s="69"/>
    </row>
    <row r="695">
      <c r="D695" s="66"/>
      <c r="E695" s="66"/>
      <c r="F695" s="66"/>
      <c r="G695" s="66"/>
      <c r="H695" s="69"/>
      <c r="I695" s="69"/>
    </row>
    <row r="696">
      <c r="D696" s="66"/>
      <c r="E696" s="66"/>
      <c r="F696" s="66"/>
      <c r="G696" s="66"/>
      <c r="H696" s="69"/>
      <c r="I696" s="69"/>
    </row>
    <row r="697">
      <c r="D697" s="66"/>
      <c r="E697" s="66"/>
      <c r="F697" s="66"/>
      <c r="G697" s="66"/>
      <c r="H697" s="69"/>
      <c r="I697" s="69"/>
    </row>
    <row r="698">
      <c r="D698" s="66"/>
      <c r="E698" s="66"/>
      <c r="F698" s="66"/>
      <c r="G698" s="66"/>
      <c r="H698" s="69"/>
      <c r="I698" s="69"/>
    </row>
    <row r="699">
      <c r="D699" s="66"/>
      <c r="E699" s="66"/>
      <c r="F699" s="66"/>
      <c r="G699" s="66"/>
      <c r="H699" s="69"/>
      <c r="I699" s="69"/>
    </row>
    <row r="700">
      <c r="D700" s="66"/>
      <c r="E700" s="66"/>
      <c r="F700" s="66"/>
      <c r="G700" s="66"/>
      <c r="H700" s="69"/>
      <c r="I700" s="69"/>
    </row>
    <row r="701">
      <c r="D701" s="66"/>
      <c r="E701" s="66"/>
      <c r="F701" s="66"/>
      <c r="G701" s="66"/>
      <c r="H701" s="69"/>
      <c r="I701" s="69"/>
    </row>
    <row r="702">
      <c r="D702" s="66"/>
      <c r="E702" s="66"/>
      <c r="F702" s="66"/>
      <c r="G702" s="66"/>
      <c r="H702" s="69"/>
      <c r="I702" s="69"/>
    </row>
    <row r="703">
      <c r="D703" s="66"/>
      <c r="E703" s="66"/>
      <c r="F703" s="66"/>
      <c r="G703" s="66"/>
      <c r="H703" s="69"/>
      <c r="I703" s="69"/>
    </row>
    <row r="704">
      <c r="D704" s="66"/>
      <c r="E704" s="66"/>
      <c r="F704" s="66"/>
      <c r="G704" s="66"/>
      <c r="H704" s="69"/>
      <c r="I704" s="69"/>
    </row>
    <row r="705">
      <c r="D705" s="66"/>
      <c r="E705" s="66"/>
      <c r="F705" s="66"/>
      <c r="G705" s="66"/>
      <c r="H705" s="69"/>
      <c r="I705" s="69"/>
    </row>
    <row r="706">
      <c r="D706" s="66"/>
      <c r="E706" s="66"/>
      <c r="F706" s="66"/>
      <c r="G706" s="66"/>
      <c r="H706" s="69"/>
      <c r="I706" s="69"/>
    </row>
    <row r="707">
      <c r="D707" s="66"/>
      <c r="E707" s="66"/>
      <c r="F707" s="66"/>
      <c r="G707" s="66"/>
      <c r="H707" s="69"/>
      <c r="I707" s="69"/>
    </row>
    <row r="708">
      <c r="D708" s="66"/>
      <c r="E708" s="66"/>
      <c r="F708" s="66"/>
      <c r="G708" s="66"/>
      <c r="H708" s="69"/>
      <c r="I708" s="69"/>
    </row>
    <row r="709">
      <c r="D709" s="66"/>
      <c r="E709" s="66"/>
      <c r="F709" s="66"/>
      <c r="G709" s="66"/>
      <c r="H709" s="69"/>
      <c r="I709" s="69"/>
    </row>
    <row r="710">
      <c r="D710" s="66"/>
      <c r="E710" s="66"/>
      <c r="F710" s="66"/>
      <c r="G710" s="66"/>
      <c r="H710" s="69"/>
      <c r="I710" s="69"/>
    </row>
    <row r="711">
      <c r="D711" s="66"/>
      <c r="E711" s="66"/>
      <c r="F711" s="66"/>
      <c r="G711" s="66"/>
      <c r="H711" s="69"/>
      <c r="I711" s="69"/>
    </row>
    <row r="712">
      <c r="D712" s="66"/>
      <c r="E712" s="66"/>
      <c r="F712" s="66"/>
      <c r="G712" s="66"/>
      <c r="H712" s="69"/>
      <c r="I712" s="69"/>
    </row>
    <row r="713">
      <c r="D713" s="66"/>
      <c r="E713" s="66"/>
      <c r="F713" s="66"/>
      <c r="G713" s="66"/>
      <c r="H713" s="69"/>
      <c r="I713" s="69"/>
    </row>
    <row r="714">
      <c r="D714" s="66"/>
      <c r="E714" s="66"/>
      <c r="F714" s="66"/>
      <c r="G714" s="66"/>
      <c r="H714" s="69"/>
      <c r="I714" s="69"/>
    </row>
    <row r="715">
      <c r="D715" s="66"/>
      <c r="E715" s="66"/>
      <c r="F715" s="66"/>
      <c r="G715" s="66"/>
      <c r="H715" s="69"/>
      <c r="I715" s="69"/>
    </row>
    <row r="716">
      <c r="D716" s="66"/>
      <c r="E716" s="66"/>
      <c r="F716" s="66"/>
      <c r="G716" s="66"/>
      <c r="H716" s="69"/>
      <c r="I716" s="69"/>
    </row>
    <row r="717">
      <c r="D717" s="66"/>
      <c r="E717" s="66"/>
      <c r="F717" s="66"/>
      <c r="G717" s="66"/>
      <c r="H717" s="69"/>
      <c r="I717" s="69"/>
    </row>
    <row r="718">
      <c r="D718" s="66"/>
      <c r="E718" s="66"/>
      <c r="F718" s="66"/>
      <c r="G718" s="66"/>
      <c r="H718" s="69"/>
      <c r="I718" s="69"/>
    </row>
    <row r="719">
      <c r="D719" s="66"/>
      <c r="E719" s="66"/>
      <c r="F719" s="66"/>
      <c r="G719" s="66"/>
      <c r="H719" s="69"/>
      <c r="I719" s="69"/>
    </row>
    <row r="720">
      <c r="D720" s="66"/>
      <c r="E720" s="66"/>
      <c r="F720" s="66"/>
      <c r="G720" s="66"/>
      <c r="H720" s="69"/>
      <c r="I720" s="69"/>
    </row>
    <row r="721">
      <c r="D721" s="66"/>
      <c r="E721" s="66"/>
      <c r="F721" s="66"/>
      <c r="G721" s="66"/>
      <c r="H721" s="69"/>
      <c r="I721" s="69"/>
    </row>
    <row r="722">
      <c r="D722" s="66"/>
      <c r="E722" s="66"/>
      <c r="F722" s="66"/>
      <c r="G722" s="66"/>
      <c r="H722" s="69"/>
      <c r="I722" s="69"/>
    </row>
    <row r="723">
      <c r="D723" s="66"/>
      <c r="E723" s="66"/>
      <c r="F723" s="66"/>
      <c r="G723" s="66"/>
      <c r="H723" s="69"/>
      <c r="I723" s="69"/>
    </row>
    <row r="724">
      <c r="D724" s="66"/>
      <c r="E724" s="66"/>
      <c r="F724" s="66"/>
      <c r="G724" s="66"/>
      <c r="H724" s="69"/>
      <c r="I724" s="69"/>
    </row>
    <row r="725">
      <c r="D725" s="66"/>
      <c r="E725" s="66"/>
      <c r="F725" s="66"/>
      <c r="G725" s="66"/>
      <c r="H725" s="69"/>
      <c r="I725" s="69"/>
    </row>
    <row r="726">
      <c r="D726" s="66"/>
      <c r="E726" s="66"/>
      <c r="F726" s="66"/>
      <c r="G726" s="66"/>
      <c r="H726" s="69"/>
      <c r="I726" s="69"/>
    </row>
    <row r="727">
      <c r="D727" s="66"/>
      <c r="E727" s="66"/>
      <c r="F727" s="66"/>
      <c r="G727" s="66"/>
      <c r="H727" s="69"/>
      <c r="I727" s="69"/>
    </row>
    <row r="728">
      <c r="D728" s="66"/>
      <c r="E728" s="66"/>
      <c r="F728" s="66"/>
      <c r="G728" s="66"/>
      <c r="H728" s="69"/>
      <c r="I728" s="69"/>
    </row>
    <row r="729">
      <c r="D729" s="66"/>
      <c r="E729" s="66"/>
      <c r="F729" s="66"/>
      <c r="G729" s="66"/>
      <c r="H729" s="69"/>
      <c r="I729" s="69"/>
    </row>
    <row r="730">
      <c r="D730" s="66"/>
      <c r="E730" s="66"/>
      <c r="F730" s="66"/>
      <c r="G730" s="66"/>
      <c r="H730" s="69"/>
      <c r="I730" s="69"/>
    </row>
    <row r="731">
      <c r="D731" s="66"/>
      <c r="E731" s="66"/>
      <c r="F731" s="66"/>
      <c r="G731" s="66"/>
      <c r="H731" s="69"/>
      <c r="I731" s="69"/>
    </row>
    <row r="732">
      <c r="D732" s="66"/>
      <c r="E732" s="66"/>
      <c r="F732" s="66"/>
      <c r="G732" s="66"/>
      <c r="H732" s="69"/>
      <c r="I732" s="69"/>
    </row>
    <row r="733">
      <c r="D733" s="66"/>
      <c r="E733" s="66"/>
      <c r="F733" s="66"/>
      <c r="G733" s="66"/>
      <c r="H733" s="69"/>
      <c r="I733" s="69"/>
    </row>
    <row r="734">
      <c r="D734" s="66"/>
      <c r="E734" s="66"/>
      <c r="F734" s="66"/>
      <c r="G734" s="66"/>
      <c r="H734" s="69"/>
      <c r="I734" s="69"/>
    </row>
    <row r="735">
      <c r="D735" s="66"/>
      <c r="E735" s="66"/>
      <c r="F735" s="66"/>
      <c r="G735" s="66"/>
      <c r="H735" s="69"/>
      <c r="I735" s="69"/>
    </row>
    <row r="736">
      <c r="D736" s="66"/>
      <c r="E736" s="66"/>
      <c r="F736" s="66"/>
      <c r="G736" s="66"/>
      <c r="H736" s="69"/>
      <c r="I736" s="69"/>
    </row>
    <row r="737">
      <c r="D737" s="66"/>
      <c r="E737" s="66"/>
      <c r="F737" s="66"/>
      <c r="G737" s="66"/>
      <c r="H737" s="69"/>
      <c r="I737" s="69"/>
    </row>
    <row r="738">
      <c r="D738" s="66"/>
      <c r="E738" s="66"/>
      <c r="F738" s="66"/>
      <c r="G738" s="66"/>
      <c r="H738" s="69"/>
      <c r="I738" s="69"/>
    </row>
    <row r="739">
      <c r="D739" s="66"/>
      <c r="E739" s="66"/>
      <c r="F739" s="66"/>
      <c r="G739" s="66"/>
      <c r="H739" s="69"/>
      <c r="I739" s="69"/>
    </row>
    <row r="740">
      <c r="D740" s="66"/>
      <c r="E740" s="66"/>
      <c r="F740" s="66"/>
      <c r="G740" s="66"/>
      <c r="H740" s="69"/>
      <c r="I740" s="69"/>
    </row>
    <row r="741">
      <c r="D741" s="66"/>
      <c r="E741" s="66"/>
      <c r="F741" s="66"/>
      <c r="G741" s="66"/>
      <c r="H741" s="69"/>
      <c r="I741" s="69"/>
    </row>
    <row r="742">
      <c r="D742" s="66"/>
      <c r="E742" s="66"/>
      <c r="F742" s="66"/>
      <c r="G742" s="66"/>
      <c r="H742" s="69"/>
      <c r="I742" s="69"/>
    </row>
    <row r="743">
      <c r="D743" s="66"/>
      <c r="E743" s="66"/>
      <c r="F743" s="66"/>
      <c r="G743" s="66"/>
      <c r="H743" s="69"/>
      <c r="I743" s="69"/>
    </row>
    <row r="744">
      <c r="D744" s="66"/>
      <c r="E744" s="66"/>
      <c r="F744" s="66"/>
      <c r="G744" s="66"/>
      <c r="H744" s="69"/>
      <c r="I744" s="69"/>
    </row>
    <row r="745">
      <c r="D745" s="66"/>
      <c r="E745" s="66"/>
      <c r="F745" s="66"/>
      <c r="G745" s="66"/>
      <c r="H745" s="69"/>
      <c r="I745" s="69"/>
    </row>
    <row r="746">
      <c r="D746" s="66"/>
      <c r="E746" s="66"/>
      <c r="F746" s="66"/>
      <c r="G746" s="66"/>
      <c r="H746" s="69"/>
      <c r="I746" s="69"/>
    </row>
    <row r="747">
      <c r="D747" s="66"/>
      <c r="E747" s="66"/>
      <c r="F747" s="66"/>
      <c r="G747" s="66"/>
      <c r="H747" s="69"/>
      <c r="I747" s="69"/>
    </row>
    <row r="748">
      <c r="D748" s="66"/>
      <c r="E748" s="66"/>
      <c r="F748" s="66"/>
      <c r="G748" s="66"/>
      <c r="H748" s="69"/>
      <c r="I748" s="69"/>
    </row>
    <row r="749">
      <c r="D749" s="66"/>
      <c r="E749" s="66"/>
      <c r="F749" s="66"/>
      <c r="G749" s="66"/>
      <c r="H749" s="69"/>
      <c r="I749" s="69"/>
    </row>
    <row r="750">
      <c r="D750" s="66"/>
      <c r="E750" s="66"/>
      <c r="F750" s="66"/>
      <c r="G750" s="66"/>
      <c r="H750" s="69"/>
      <c r="I750" s="69"/>
    </row>
    <row r="751">
      <c r="D751" s="66"/>
      <c r="E751" s="66"/>
      <c r="F751" s="66"/>
      <c r="G751" s="66"/>
      <c r="H751" s="69"/>
      <c r="I751" s="69"/>
    </row>
    <row r="752">
      <c r="D752" s="66"/>
      <c r="E752" s="66"/>
      <c r="F752" s="66"/>
      <c r="G752" s="66"/>
      <c r="H752" s="69"/>
      <c r="I752" s="69"/>
    </row>
    <row r="753">
      <c r="D753" s="66"/>
      <c r="E753" s="66"/>
      <c r="F753" s="66"/>
      <c r="G753" s="66"/>
      <c r="H753" s="69"/>
      <c r="I753" s="69"/>
    </row>
    <row r="754">
      <c r="D754" s="66"/>
      <c r="E754" s="66"/>
      <c r="F754" s="66"/>
      <c r="G754" s="66"/>
      <c r="H754" s="69"/>
      <c r="I754" s="69"/>
    </row>
    <row r="755">
      <c r="D755" s="66"/>
      <c r="E755" s="66"/>
      <c r="F755" s="66"/>
      <c r="G755" s="66"/>
      <c r="H755" s="69"/>
      <c r="I755" s="69"/>
    </row>
    <row r="756">
      <c r="D756" s="66"/>
      <c r="E756" s="66"/>
      <c r="F756" s="66"/>
      <c r="G756" s="66"/>
      <c r="H756" s="69"/>
      <c r="I756" s="69"/>
    </row>
    <row r="757">
      <c r="D757" s="66"/>
      <c r="E757" s="66"/>
      <c r="F757" s="66"/>
      <c r="G757" s="66"/>
      <c r="H757" s="69"/>
      <c r="I757" s="69"/>
    </row>
    <row r="758">
      <c r="D758" s="66"/>
      <c r="E758" s="66"/>
      <c r="F758" s="66"/>
      <c r="G758" s="66"/>
      <c r="H758" s="69"/>
      <c r="I758" s="69"/>
    </row>
    <row r="759">
      <c r="D759" s="66"/>
      <c r="E759" s="66"/>
      <c r="F759" s="66"/>
      <c r="G759" s="66"/>
      <c r="H759" s="69"/>
      <c r="I759" s="69"/>
    </row>
    <row r="760">
      <c r="D760" s="66"/>
      <c r="E760" s="66"/>
      <c r="F760" s="66"/>
      <c r="G760" s="66"/>
      <c r="H760" s="69"/>
      <c r="I760" s="69"/>
    </row>
    <row r="761">
      <c r="D761" s="66"/>
      <c r="E761" s="66"/>
      <c r="F761" s="66"/>
      <c r="G761" s="66"/>
      <c r="H761" s="69"/>
      <c r="I761" s="69"/>
    </row>
    <row r="762">
      <c r="D762" s="66"/>
      <c r="E762" s="66"/>
      <c r="F762" s="66"/>
      <c r="G762" s="66"/>
      <c r="H762" s="69"/>
      <c r="I762" s="69"/>
    </row>
    <row r="763">
      <c r="D763" s="66"/>
      <c r="E763" s="66"/>
      <c r="F763" s="66"/>
      <c r="G763" s="66"/>
      <c r="H763" s="69"/>
      <c r="I763" s="69"/>
    </row>
    <row r="764">
      <c r="D764" s="66"/>
      <c r="E764" s="66"/>
      <c r="F764" s="66"/>
      <c r="G764" s="66"/>
      <c r="H764" s="69"/>
      <c r="I764" s="69"/>
    </row>
    <row r="765">
      <c r="D765" s="66"/>
      <c r="E765" s="66"/>
      <c r="F765" s="66"/>
      <c r="G765" s="66"/>
      <c r="H765" s="69"/>
      <c r="I765" s="69"/>
    </row>
    <row r="766">
      <c r="D766" s="66"/>
      <c r="E766" s="66"/>
      <c r="F766" s="66"/>
      <c r="G766" s="66"/>
      <c r="H766" s="69"/>
      <c r="I766" s="69"/>
    </row>
    <row r="767">
      <c r="D767" s="66"/>
      <c r="E767" s="66"/>
      <c r="F767" s="66"/>
      <c r="G767" s="66"/>
      <c r="H767" s="69"/>
      <c r="I767" s="69"/>
    </row>
    <row r="768">
      <c r="D768" s="66"/>
      <c r="E768" s="66"/>
      <c r="F768" s="66"/>
      <c r="G768" s="66"/>
      <c r="H768" s="69"/>
      <c r="I768" s="69"/>
    </row>
    <row r="769">
      <c r="D769" s="66"/>
      <c r="E769" s="66"/>
      <c r="F769" s="66"/>
      <c r="G769" s="66"/>
      <c r="H769" s="69"/>
      <c r="I769" s="69"/>
    </row>
    <row r="770">
      <c r="D770" s="66"/>
      <c r="E770" s="66"/>
      <c r="F770" s="66"/>
      <c r="G770" s="66"/>
      <c r="H770" s="69"/>
      <c r="I770" s="69"/>
    </row>
    <row r="771">
      <c r="D771" s="66"/>
      <c r="E771" s="66"/>
      <c r="F771" s="66"/>
      <c r="G771" s="66"/>
      <c r="H771" s="69"/>
      <c r="I771" s="69"/>
    </row>
    <row r="772">
      <c r="D772" s="66"/>
      <c r="E772" s="66"/>
      <c r="F772" s="66"/>
      <c r="G772" s="66"/>
      <c r="H772" s="69"/>
      <c r="I772" s="69"/>
    </row>
    <row r="773">
      <c r="D773" s="66"/>
      <c r="E773" s="66"/>
      <c r="F773" s="66"/>
      <c r="G773" s="66"/>
      <c r="H773" s="69"/>
      <c r="I773" s="69"/>
    </row>
    <row r="774">
      <c r="D774" s="66"/>
      <c r="E774" s="66"/>
      <c r="F774" s="66"/>
      <c r="G774" s="66"/>
      <c r="H774" s="69"/>
      <c r="I774" s="69"/>
    </row>
    <row r="775">
      <c r="D775" s="66"/>
      <c r="E775" s="66"/>
      <c r="F775" s="66"/>
      <c r="G775" s="66"/>
      <c r="H775" s="69"/>
      <c r="I775" s="69"/>
    </row>
    <row r="776">
      <c r="D776" s="66"/>
      <c r="E776" s="66"/>
      <c r="F776" s="66"/>
      <c r="G776" s="66"/>
      <c r="H776" s="69"/>
      <c r="I776" s="69"/>
    </row>
    <row r="777">
      <c r="D777" s="66"/>
      <c r="E777" s="66"/>
      <c r="F777" s="66"/>
      <c r="G777" s="66"/>
      <c r="H777" s="69"/>
      <c r="I777" s="69"/>
    </row>
    <row r="778">
      <c r="D778" s="66"/>
      <c r="E778" s="66"/>
      <c r="F778" s="66"/>
      <c r="G778" s="66"/>
      <c r="H778" s="69"/>
      <c r="I778" s="69"/>
    </row>
    <row r="779">
      <c r="D779" s="66"/>
      <c r="E779" s="66"/>
      <c r="F779" s="66"/>
      <c r="G779" s="66"/>
      <c r="H779" s="69"/>
      <c r="I779" s="69"/>
    </row>
    <row r="780">
      <c r="D780" s="66"/>
      <c r="E780" s="66"/>
      <c r="F780" s="66"/>
      <c r="G780" s="66"/>
      <c r="H780" s="69"/>
      <c r="I780" s="69"/>
    </row>
    <row r="781">
      <c r="D781" s="66"/>
      <c r="E781" s="66"/>
      <c r="F781" s="66"/>
      <c r="G781" s="66"/>
      <c r="H781" s="69"/>
      <c r="I781" s="69"/>
    </row>
    <row r="782">
      <c r="D782" s="66"/>
      <c r="E782" s="66"/>
      <c r="F782" s="66"/>
      <c r="G782" s="66"/>
      <c r="H782" s="69"/>
      <c r="I782" s="69"/>
    </row>
    <row r="783">
      <c r="D783" s="66"/>
      <c r="E783" s="66"/>
      <c r="F783" s="66"/>
      <c r="G783" s="66"/>
      <c r="H783" s="69"/>
      <c r="I783" s="69"/>
    </row>
    <row r="784">
      <c r="D784" s="66"/>
      <c r="E784" s="66"/>
      <c r="F784" s="66"/>
      <c r="G784" s="66"/>
      <c r="H784" s="69"/>
      <c r="I784" s="69"/>
    </row>
    <row r="785">
      <c r="D785" s="66"/>
      <c r="E785" s="66"/>
      <c r="F785" s="66"/>
      <c r="G785" s="66"/>
      <c r="H785" s="69"/>
      <c r="I785" s="69"/>
    </row>
    <row r="786">
      <c r="D786" s="66"/>
      <c r="E786" s="66"/>
      <c r="F786" s="66"/>
      <c r="G786" s="66"/>
      <c r="H786" s="69"/>
      <c r="I786" s="69"/>
    </row>
    <row r="787">
      <c r="D787" s="66"/>
      <c r="E787" s="66"/>
      <c r="F787" s="66"/>
      <c r="G787" s="66"/>
      <c r="H787" s="69"/>
      <c r="I787" s="69"/>
    </row>
    <row r="788">
      <c r="D788" s="66"/>
      <c r="E788" s="66"/>
      <c r="F788" s="66"/>
      <c r="G788" s="66"/>
      <c r="H788" s="69"/>
      <c r="I788" s="69"/>
    </row>
    <row r="789">
      <c r="D789" s="66"/>
      <c r="E789" s="66"/>
      <c r="F789" s="66"/>
      <c r="G789" s="66"/>
      <c r="H789" s="69"/>
      <c r="I789" s="69"/>
    </row>
    <row r="790">
      <c r="D790" s="66"/>
      <c r="E790" s="66"/>
      <c r="F790" s="66"/>
      <c r="G790" s="66"/>
      <c r="H790" s="69"/>
      <c r="I790" s="69"/>
    </row>
    <row r="791">
      <c r="D791" s="66"/>
      <c r="E791" s="66"/>
      <c r="F791" s="66"/>
      <c r="G791" s="66"/>
      <c r="H791" s="69"/>
      <c r="I791" s="69"/>
    </row>
    <row r="792">
      <c r="D792" s="66"/>
      <c r="E792" s="66"/>
      <c r="F792" s="66"/>
      <c r="G792" s="66"/>
      <c r="H792" s="69"/>
      <c r="I792" s="69"/>
    </row>
    <row r="793">
      <c r="D793" s="66"/>
      <c r="E793" s="66"/>
      <c r="F793" s="66"/>
      <c r="G793" s="66"/>
      <c r="H793" s="69"/>
      <c r="I793" s="69"/>
    </row>
    <row r="794">
      <c r="D794" s="66"/>
      <c r="E794" s="66"/>
      <c r="F794" s="66"/>
      <c r="G794" s="66"/>
      <c r="H794" s="69"/>
      <c r="I794" s="69"/>
    </row>
    <row r="795">
      <c r="D795" s="66"/>
      <c r="E795" s="66"/>
      <c r="F795" s="66"/>
      <c r="G795" s="66"/>
      <c r="H795" s="69"/>
      <c r="I795" s="69"/>
    </row>
    <row r="796">
      <c r="D796" s="66"/>
      <c r="E796" s="66"/>
      <c r="F796" s="66"/>
      <c r="G796" s="66"/>
      <c r="H796" s="69"/>
      <c r="I796" s="69"/>
    </row>
    <row r="797">
      <c r="D797" s="66"/>
      <c r="E797" s="66"/>
      <c r="F797" s="66"/>
      <c r="G797" s="66"/>
      <c r="H797" s="69"/>
      <c r="I797" s="69"/>
    </row>
    <row r="798">
      <c r="D798" s="66"/>
      <c r="E798" s="66"/>
      <c r="F798" s="66"/>
      <c r="G798" s="66"/>
      <c r="H798" s="69"/>
      <c r="I798" s="69"/>
    </row>
    <row r="799">
      <c r="D799" s="66"/>
      <c r="E799" s="66"/>
      <c r="F799" s="66"/>
      <c r="G799" s="66"/>
      <c r="H799" s="69"/>
      <c r="I799" s="69"/>
    </row>
    <row r="800">
      <c r="D800" s="66"/>
      <c r="E800" s="66"/>
      <c r="F800" s="66"/>
      <c r="G800" s="66"/>
      <c r="H800" s="69"/>
      <c r="I800" s="69"/>
    </row>
    <row r="801">
      <c r="D801" s="66"/>
      <c r="E801" s="66"/>
      <c r="F801" s="66"/>
      <c r="G801" s="66"/>
      <c r="H801" s="69"/>
      <c r="I801" s="69"/>
    </row>
    <row r="802">
      <c r="D802" s="66"/>
      <c r="E802" s="66"/>
      <c r="F802" s="66"/>
      <c r="G802" s="66"/>
      <c r="H802" s="69"/>
      <c r="I802" s="69"/>
    </row>
    <row r="803">
      <c r="D803" s="66"/>
      <c r="E803" s="66"/>
      <c r="F803" s="66"/>
      <c r="G803" s="66"/>
      <c r="H803" s="69"/>
      <c r="I803" s="69"/>
    </row>
    <row r="804">
      <c r="D804" s="66"/>
      <c r="E804" s="66"/>
      <c r="F804" s="66"/>
      <c r="G804" s="66"/>
      <c r="H804" s="69"/>
      <c r="I804" s="69"/>
    </row>
    <row r="805">
      <c r="D805" s="66"/>
      <c r="E805" s="66"/>
      <c r="F805" s="66"/>
      <c r="G805" s="66"/>
      <c r="H805" s="69"/>
      <c r="I805" s="69"/>
    </row>
    <row r="806">
      <c r="D806" s="66"/>
      <c r="E806" s="66"/>
      <c r="F806" s="66"/>
      <c r="G806" s="66"/>
      <c r="H806" s="69"/>
      <c r="I806" s="69"/>
    </row>
    <row r="807">
      <c r="D807" s="66"/>
      <c r="E807" s="66"/>
      <c r="F807" s="66"/>
      <c r="G807" s="66"/>
      <c r="H807" s="69"/>
      <c r="I807" s="69"/>
    </row>
    <row r="808">
      <c r="D808" s="66"/>
      <c r="E808" s="66"/>
      <c r="F808" s="66"/>
      <c r="G808" s="66"/>
      <c r="H808" s="69"/>
      <c r="I808" s="69"/>
    </row>
    <row r="809">
      <c r="D809" s="66"/>
      <c r="E809" s="66"/>
      <c r="F809" s="66"/>
      <c r="G809" s="66"/>
      <c r="H809" s="69"/>
      <c r="I809" s="69"/>
    </row>
    <row r="810">
      <c r="D810" s="66"/>
      <c r="E810" s="66"/>
      <c r="F810" s="66"/>
      <c r="G810" s="66"/>
      <c r="H810" s="69"/>
      <c r="I810" s="69"/>
    </row>
    <row r="811">
      <c r="D811" s="66"/>
      <c r="E811" s="66"/>
      <c r="F811" s="66"/>
      <c r="G811" s="66"/>
      <c r="H811" s="69"/>
      <c r="I811" s="69"/>
    </row>
    <row r="812">
      <c r="D812" s="66"/>
      <c r="E812" s="66"/>
      <c r="F812" s="66"/>
      <c r="G812" s="66"/>
      <c r="H812" s="69"/>
      <c r="I812" s="69"/>
    </row>
    <row r="813">
      <c r="D813" s="66"/>
      <c r="E813" s="66"/>
      <c r="F813" s="66"/>
      <c r="G813" s="66"/>
      <c r="H813" s="69"/>
      <c r="I813" s="69"/>
    </row>
    <row r="814">
      <c r="D814" s="66"/>
      <c r="E814" s="66"/>
      <c r="F814" s="66"/>
      <c r="G814" s="66"/>
      <c r="H814" s="69"/>
      <c r="I814" s="69"/>
    </row>
    <row r="815">
      <c r="D815" s="66"/>
      <c r="E815" s="66"/>
      <c r="F815" s="66"/>
      <c r="G815" s="66"/>
      <c r="H815" s="69"/>
      <c r="I815" s="69"/>
    </row>
    <row r="816">
      <c r="D816" s="66"/>
      <c r="E816" s="66"/>
      <c r="F816" s="66"/>
      <c r="G816" s="66"/>
      <c r="H816" s="69"/>
      <c r="I816" s="69"/>
    </row>
    <row r="817">
      <c r="D817" s="66"/>
      <c r="E817" s="66"/>
      <c r="F817" s="66"/>
      <c r="G817" s="66"/>
      <c r="H817" s="69"/>
      <c r="I817" s="69"/>
    </row>
    <row r="818">
      <c r="D818" s="66"/>
      <c r="E818" s="66"/>
      <c r="F818" s="66"/>
      <c r="G818" s="66"/>
      <c r="H818" s="69"/>
      <c r="I818" s="69"/>
    </row>
    <row r="819">
      <c r="D819" s="66"/>
      <c r="E819" s="66"/>
      <c r="F819" s="66"/>
      <c r="G819" s="66"/>
      <c r="H819" s="69"/>
      <c r="I819" s="69"/>
    </row>
    <row r="820">
      <c r="D820" s="66"/>
      <c r="E820" s="66"/>
      <c r="F820" s="66"/>
      <c r="G820" s="66"/>
      <c r="H820" s="69"/>
      <c r="I820" s="69"/>
    </row>
    <row r="821">
      <c r="D821" s="66"/>
      <c r="E821" s="66"/>
      <c r="F821" s="66"/>
      <c r="G821" s="66"/>
      <c r="H821" s="69"/>
      <c r="I821" s="69"/>
    </row>
    <row r="822">
      <c r="D822" s="66"/>
      <c r="E822" s="66"/>
      <c r="F822" s="66"/>
      <c r="G822" s="66"/>
      <c r="H822" s="69"/>
      <c r="I822" s="69"/>
    </row>
    <row r="823">
      <c r="D823" s="66"/>
      <c r="E823" s="66"/>
      <c r="F823" s="66"/>
      <c r="G823" s="66"/>
      <c r="H823" s="69"/>
      <c r="I823" s="69"/>
    </row>
    <row r="824">
      <c r="D824" s="66"/>
      <c r="E824" s="66"/>
      <c r="F824" s="66"/>
      <c r="G824" s="66"/>
      <c r="H824" s="69"/>
      <c r="I824" s="69"/>
    </row>
    <row r="825">
      <c r="D825" s="66"/>
      <c r="E825" s="66"/>
      <c r="F825" s="66"/>
      <c r="G825" s="66"/>
      <c r="H825" s="69"/>
      <c r="I825" s="69"/>
    </row>
    <row r="826">
      <c r="D826" s="66"/>
      <c r="E826" s="66"/>
      <c r="F826" s="66"/>
      <c r="G826" s="66"/>
      <c r="H826" s="69"/>
      <c r="I826" s="69"/>
    </row>
    <row r="827">
      <c r="D827" s="66"/>
      <c r="E827" s="66"/>
      <c r="F827" s="66"/>
      <c r="G827" s="66"/>
      <c r="H827" s="69"/>
      <c r="I827" s="69"/>
    </row>
    <row r="828">
      <c r="D828" s="66"/>
      <c r="E828" s="66"/>
      <c r="F828" s="66"/>
      <c r="G828" s="66"/>
      <c r="H828" s="69"/>
      <c r="I828" s="69"/>
    </row>
    <row r="829">
      <c r="D829" s="66"/>
      <c r="E829" s="66"/>
      <c r="F829" s="66"/>
      <c r="G829" s="66"/>
      <c r="H829" s="69"/>
      <c r="I829" s="69"/>
    </row>
    <row r="830">
      <c r="D830" s="66"/>
      <c r="E830" s="66"/>
      <c r="F830" s="66"/>
      <c r="G830" s="66"/>
      <c r="H830" s="69"/>
      <c r="I830" s="69"/>
    </row>
    <row r="831">
      <c r="D831" s="66"/>
      <c r="E831" s="66"/>
      <c r="F831" s="66"/>
      <c r="G831" s="66"/>
      <c r="H831" s="69"/>
      <c r="I831" s="69"/>
    </row>
    <row r="832">
      <c r="D832" s="66"/>
      <c r="E832" s="66"/>
      <c r="F832" s="66"/>
      <c r="G832" s="66"/>
      <c r="H832" s="69"/>
      <c r="I832" s="69"/>
    </row>
    <row r="833">
      <c r="D833" s="66"/>
      <c r="E833" s="66"/>
      <c r="F833" s="66"/>
      <c r="G833" s="66"/>
      <c r="H833" s="69"/>
      <c r="I833" s="69"/>
    </row>
    <row r="834">
      <c r="D834" s="66"/>
      <c r="E834" s="66"/>
      <c r="F834" s="66"/>
      <c r="G834" s="66"/>
      <c r="H834" s="69"/>
      <c r="I834" s="69"/>
    </row>
    <row r="835">
      <c r="D835" s="66"/>
      <c r="E835" s="66"/>
      <c r="F835" s="66"/>
      <c r="G835" s="66"/>
      <c r="H835" s="69"/>
      <c r="I835" s="69"/>
    </row>
    <row r="836">
      <c r="D836" s="66"/>
      <c r="E836" s="66"/>
      <c r="F836" s="66"/>
      <c r="G836" s="66"/>
      <c r="H836" s="69"/>
      <c r="I836" s="69"/>
    </row>
    <row r="837">
      <c r="D837" s="66"/>
      <c r="E837" s="66"/>
      <c r="F837" s="66"/>
      <c r="G837" s="66"/>
      <c r="H837" s="69"/>
      <c r="I837" s="69"/>
    </row>
    <row r="838">
      <c r="D838" s="66"/>
      <c r="E838" s="66"/>
      <c r="F838" s="66"/>
      <c r="G838" s="66"/>
      <c r="H838" s="69"/>
      <c r="I838" s="69"/>
    </row>
    <row r="839">
      <c r="D839" s="66"/>
      <c r="E839" s="66"/>
      <c r="F839" s="66"/>
      <c r="G839" s="66"/>
      <c r="H839" s="69"/>
      <c r="I839" s="69"/>
    </row>
    <row r="840">
      <c r="D840" s="66"/>
      <c r="E840" s="66"/>
      <c r="F840" s="66"/>
      <c r="G840" s="66"/>
      <c r="H840" s="69"/>
      <c r="I840" s="69"/>
    </row>
    <row r="841">
      <c r="D841" s="66"/>
      <c r="E841" s="66"/>
      <c r="F841" s="66"/>
      <c r="G841" s="66"/>
      <c r="H841" s="69"/>
      <c r="I841" s="69"/>
    </row>
    <row r="842">
      <c r="D842" s="66"/>
      <c r="E842" s="66"/>
      <c r="F842" s="66"/>
      <c r="G842" s="66"/>
      <c r="H842" s="69"/>
      <c r="I842" s="69"/>
    </row>
    <row r="843">
      <c r="D843" s="66"/>
      <c r="E843" s="66"/>
      <c r="F843" s="66"/>
      <c r="G843" s="66"/>
      <c r="H843" s="69"/>
      <c r="I843" s="69"/>
    </row>
    <row r="844">
      <c r="D844" s="66"/>
      <c r="E844" s="66"/>
      <c r="F844" s="66"/>
      <c r="G844" s="66"/>
      <c r="H844" s="69"/>
      <c r="I844" s="69"/>
    </row>
    <row r="845">
      <c r="D845" s="66"/>
      <c r="E845" s="66"/>
      <c r="F845" s="66"/>
      <c r="G845" s="66"/>
      <c r="H845" s="69"/>
      <c r="I845" s="69"/>
    </row>
    <row r="846">
      <c r="D846" s="66"/>
      <c r="E846" s="66"/>
      <c r="F846" s="66"/>
      <c r="G846" s="66"/>
      <c r="H846" s="69"/>
      <c r="I846" s="69"/>
    </row>
    <row r="847">
      <c r="D847" s="66"/>
      <c r="E847" s="66"/>
      <c r="F847" s="66"/>
      <c r="G847" s="66"/>
      <c r="H847" s="69"/>
      <c r="I847" s="69"/>
    </row>
    <row r="848">
      <c r="D848" s="66"/>
      <c r="E848" s="66"/>
      <c r="F848" s="66"/>
      <c r="G848" s="66"/>
      <c r="H848" s="69"/>
      <c r="I848" s="69"/>
    </row>
    <row r="849">
      <c r="D849" s="66"/>
      <c r="E849" s="66"/>
      <c r="F849" s="66"/>
      <c r="G849" s="66"/>
      <c r="H849" s="69"/>
      <c r="I849" s="69"/>
    </row>
    <row r="850">
      <c r="D850" s="66"/>
      <c r="E850" s="66"/>
      <c r="F850" s="66"/>
      <c r="G850" s="66"/>
      <c r="H850" s="69"/>
      <c r="I850" s="69"/>
    </row>
    <row r="851">
      <c r="D851" s="66"/>
      <c r="E851" s="66"/>
      <c r="F851" s="66"/>
      <c r="G851" s="66"/>
      <c r="H851" s="69"/>
      <c r="I851" s="69"/>
    </row>
    <row r="852">
      <c r="D852" s="66"/>
      <c r="E852" s="66"/>
      <c r="F852" s="66"/>
      <c r="G852" s="66"/>
      <c r="H852" s="69"/>
      <c r="I852" s="69"/>
    </row>
    <row r="853">
      <c r="D853" s="66"/>
      <c r="E853" s="66"/>
      <c r="F853" s="66"/>
      <c r="G853" s="66"/>
      <c r="H853" s="69"/>
      <c r="I853" s="69"/>
    </row>
    <row r="854">
      <c r="D854" s="66"/>
      <c r="E854" s="66"/>
      <c r="F854" s="66"/>
      <c r="G854" s="66"/>
      <c r="H854" s="69"/>
      <c r="I854" s="69"/>
    </row>
    <row r="855">
      <c r="D855" s="66"/>
      <c r="E855" s="66"/>
      <c r="F855" s="66"/>
      <c r="G855" s="66"/>
      <c r="H855" s="69"/>
      <c r="I855" s="69"/>
    </row>
    <row r="856">
      <c r="D856" s="66"/>
      <c r="E856" s="66"/>
      <c r="F856" s="66"/>
      <c r="G856" s="66"/>
      <c r="H856" s="69"/>
      <c r="I856" s="69"/>
    </row>
    <row r="857">
      <c r="D857" s="66"/>
      <c r="E857" s="66"/>
      <c r="F857" s="66"/>
      <c r="G857" s="66"/>
      <c r="H857" s="69"/>
      <c r="I857" s="69"/>
    </row>
    <row r="858">
      <c r="D858" s="66"/>
      <c r="E858" s="66"/>
      <c r="F858" s="66"/>
      <c r="G858" s="66"/>
      <c r="H858" s="69"/>
      <c r="I858" s="69"/>
    </row>
    <row r="859">
      <c r="D859" s="66"/>
      <c r="E859" s="66"/>
      <c r="F859" s="66"/>
      <c r="G859" s="66"/>
      <c r="H859" s="69"/>
      <c r="I859" s="69"/>
    </row>
    <row r="860">
      <c r="D860" s="66"/>
      <c r="E860" s="66"/>
      <c r="F860" s="66"/>
      <c r="G860" s="66"/>
      <c r="H860" s="69"/>
      <c r="I860" s="69"/>
    </row>
    <row r="861">
      <c r="D861" s="66"/>
      <c r="E861" s="66"/>
      <c r="F861" s="66"/>
      <c r="G861" s="66"/>
      <c r="H861" s="69"/>
      <c r="I861" s="69"/>
    </row>
    <row r="862">
      <c r="D862" s="66"/>
      <c r="E862" s="66"/>
      <c r="F862" s="66"/>
      <c r="G862" s="66"/>
      <c r="H862" s="69"/>
      <c r="I862" s="69"/>
    </row>
    <row r="863">
      <c r="D863" s="66"/>
      <c r="E863" s="66"/>
      <c r="F863" s="66"/>
      <c r="G863" s="66"/>
      <c r="H863" s="69"/>
      <c r="I863" s="69"/>
    </row>
    <row r="864">
      <c r="D864" s="66"/>
      <c r="E864" s="66"/>
      <c r="F864" s="66"/>
      <c r="G864" s="66"/>
      <c r="H864" s="69"/>
      <c r="I864" s="69"/>
    </row>
    <row r="865">
      <c r="D865" s="66"/>
      <c r="E865" s="66"/>
      <c r="F865" s="66"/>
      <c r="G865" s="66"/>
      <c r="H865" s="69"/>
      <c r="I865" s="69"/>
    </row>
    <row r="866">
      <c r="D866" s="66"/>
      <c r="E866" s="66"/>
      <c r="F866" s="66"/>
      <c r="G866" s="66"/>
      <c r="H866" s="69"/>
      <c r="I866" s="69"/>
    </row>
    <row r="867">
      <c r="D867" s="66"/>
      <c r="E867" s="66"/>
      <c r="F867" s="66"/>
      <c r="G867" s="66"/>
      <c r="H867" s="69"/>
      <c r="I867" s="69"/>
    </row>
    <row r="868">
      <c r="D868" s="66"/>
      <c r="E868" s="66"/>
      <c r="F868" s="66"/>
      <c r="G868" s="66"/>
      <c r="H868" s="69"/>
      <c r="I868" s="69"/>
    </row>
    <row r="869">
      <c r="D869" s="66"/>
      <c r="E869" s="66"/>
      <c r="F869" s="66"/>
      <c r="G869" s="66"/>
      <c r="H869" s="69"/>
      <c r="I869" s="69"/>
    </row>
    <row r="870">
      <c r="D870" s="66"/>
      <c r="E870" s="66"/>
      <c r="F870" s="66"/>
      <c r="G870" s="66"/>
      <c r="H870" s="69"/>
      <c r="I870" s="69"/>
    </row>
    <row r="871">
      <c r="D871" s="66"/>
      <c r="E871" s="66"/>
      <c r="F871" s="66"/>
      <c r="G871" s="66"/>
      <c r="H871" s="69"/>
      <c r="I871" s="69"/>
    </row>
    <row r="872">
      <c r="D872" s="66"/>
      <c r="E872" s="66"/>
      <c r="F872" s="66"/>
      <c r="G872" s="66"/>
      <c r="H872" s="69"/>
      <c r="I872" s="69"/>
    </row>
    <row r="873">
      <c r="D873" s="66"/>
      <c r="E873" s="66"/>
      <c r="F873" s="66"/>
      <c r="G873" s="66"/>
      <c r="H873" s="69"/>
      <c r="I873" s="69"/>
    </row>
    <row r="874">
      <c r="D874" s="66"/>
      <c r="E874" s="66"/>
      <c r="F874" s="66"/>
      <c r="G874" s="66"/>
      <c r="H874" s="69"/>
      <c r="I874" s="69"/>
    </row>
    <row r="875">
      <c r="D875" s="66"/>
      <c r="E875" s="66"/>
      <c r="F875" s="66"/>
      <c r="G875" s="66"/>
      <c r="H875" s="69"/>
      <c r="I875" s="69"/>
    </row>
    <row r="876">
      <c r="D876" s="66"/>
      <c r="E876" s="66"/>
      <c r="F876" s="66"/>
      <c r="G876" s="66"/>
      <c r="H876" s="69"/>
      <c r="I876" s="69"/>
    </row>
    <row r="877">
      <c r="D877" s="66"/>
      <c r="E877" s="66"/>
      <c r="F877" s="66"/>
      <c r="G877" s="66"/>
      <c r="H877" s="69"/>
      <c r="I877" s="69"/>
    </row>
    <row r="878">
      <c r="D878" s="66"/>
      <c r="E878" s="66"/>
      <c r="F878" s="66"/>
      <c r="G878" s="66"/>
      <c r="H878" s="69"/>
      <c r="I878" s="69"/>
    </row>
    <row r="879">
      <c r="D879" s="66"/>
      <c r="E879" s="66"/>
      <c r="F879" s="66"/>
      <c r="G879" s="66"/>
      <c r="H879" s="69"/>
      <c r="I879" s="69"/>
    </row>
    <row r="880">
      <c r="D880" s="66"/>
      <c r="E880" s="66"/>
      <c r="F880" s="66"/>
      <c r="G880" s="66"/>
      <c r="H880" s="69"/>
      <c r="I880" s="69"/>
    </row>
    <row r="881">
      <c r="D881" s="66"/>
      <c r="E881" s="66"/>
      <c r="F881" s="66"/>
      <c r="G881" s="66"/>
      <c r="H881" s="69"/>
      <c r="I881" s="69"/>
    </row>
    <row r="882">
      <c r="D882" s="66"/>
      <c r="E882" s="66"/>
      <c r="F882" s="66"/>
      <c r="G882" s="66"/>
      <c r="H882" s="69"/>
      <c r="I882" s="69"/>
    </row>
    <row r="883">
      <c r="D883" s="66"/>
      <c r="E883" s="66"/>
      <c r="F883" s="66"/>
      <c r="G883" s="66"/>
      <c r="H883" s="69"/>
      <c r="I883" s="69"/>
    </row>
    <row r="884">
      <c r="D884" s="66"/>
      <c r="E884" s="66"/>
      <c r="F884" s="66"/>
      <c r="G884" s="66"/>
      <c r="H884" s="69"/>
      <c r="I884" s="69"/>
    </row>
    <row r="885">
      <c r="D885" s="66"/>
      <c r="E885" s="66"/>
      <c r="F885" s="66"/>
      <c r="G885" s="66"/>
      <c r="H885" s="69"/>
      <c r="I885" s="69"/>
    </row>
    <row r="886">
      <c r="D886" s="66"/>
      <c r="E886" s="66"/>
      <c r="F886" s="66"/>
      <c r="G886" s="66"/>
      <c r="H886" s="69"/>
      <c r="I886" s="69"/>
    </row>
    <row r="887">
      <c r="D887" s="66"/>
      <c r="E887" s="66"/>
      <c r="F887" s="66"/>
      <c r="G887" s="66"/>
      <c r="H887" s="69"/>
      <c r="I887" s="69"/>
    </row>
    <row r="888">
      <c r="D888" s="66"/>
      <c r="E888" s="66"/>
      <c r="F888" s="66"/>
      <c r="G888" s="66"/>
      <c r="H888" s="69"/>
      <c r="I888" s="69"/>
    </row>
    <row r="889">
      <c r="D889" s="66"/>
      <c r="E889" s="66"/>
      <c r="F889" s="66"/>
      <c r="G889" s="66"/>
      <c r="H889" s="69"/>
      <c r="I889" s="69"/>
    </row>
    <row r="890">
      <c r="D890" s="66"/>
      <c r="E890" s="66"/>
      <c r="F890" s="66"/>
      <c r="G890" s="66"/>
      <c r="H890" s="69"/>
      <c r="I890" s="69"/>
    </row>
    <row r="891">
      <c r="D891" s="66"/>
      <c r="E891" s="66"/>
      <c r="F891" s="66"/>
      <c r="G891" s="66"/>
      <c r="H891" s="69"/>
      <c r="I891" s="69"/>
    </row>
    <row r="892">
      <c r="D892" s="66"/>
      <c r="E892" s="66"/>
      <c r="F892" s="66"/>
      <c r="G892" s="66"/>
      <c r="H892" s="69"/>
      <c r="I892" s="69"/>
    </row>
    <row r="893">
      <c r="D893" s="66"/>
      <c r="E893" s="66"/>
      <c r="F893" s="66"/>
      <c r="G893" s="66"/>
      <c r="H893" s="69"/>
      <c r="I893" s="69"/>
    </row>
    <row r="894">
      <c r="D894" s="66"/>
      <c r="E894" s="66"/>
      <c r="F894" s="66"/>
      <c r="G894" s="66"/>
      <c r="H894" s="69"/>
      <c r="I894" s="69"/>
    </row>
    <row r="895">
      <c r="D895" s="66"/>
      <c r="E895" s="66"/>
      <c r="F895" s="66"/>
      <c r="G895" s="66"/>
      <c r="H895" s="69"/>
      <c r="I895" s="69"/>
    </row>
    <row r="896">
      <c r="D896" s="66"/>
      <c r="E896" s="66"/>
      <c r="F896" s="66"/>
      <c r="G896" s="66"/>
      <c r="H896" s="69"/>
      <c r="I896" s="69"/>
    </row>
    <row r="897">
      <c r="D897" s="66"/>
      <c r="E897" s="66"/>
      <c r="F897" s="66"/>
      <c r="G897" s="66"/>
      <c r="H897" s="69"/>
      <c r="I897" s="69"/>
    </row>
    <row r="898">
      <c r="D898" s="66"/>
      <c r="E898" s="66"/>
      <c r="F898" s="66"/>
      <c r="G898" s="66"/>
      <c r="H898" s="69"/>
      <c r="I898" s="69"/>
    </row>
    <row r="899">
      <c r="D899" s="66"/>
      <c r="E899" s="66"/>
      <c r="F899" s="66"/>
      <c r="G899" s="66"/>
      <c r="H899" s="69"/>
      <c r="I899" s="69"/>
    </row>
    <row r="900">
      <c r="D900" s="66"/>
      <c r="E900" s="66"/>
      <c r="F900" s="66"/>
      <c r="G900" s="66"/>
      <c r="H900" s="69"/>
      <c r="I900" s="69"/>
    </row>
    <row r="901">
      <c r="D901" s="66"/>
      <c r="E901" s="66"/>
      <c r="F901" s="66"/>
      <c r="G901" s="66"/>
      <c r="H901" s="69"/>
      <c r="I901" s="69"/>
    </row>
    <row r="902">
      <c r="D902" s="66"/>
      <c r="E902" s="66"/>
      <c r="F902" s="66"/>
      <c r="G902" s="66"/>
      <c r="H902" s="69"/>
      <c r="I902" s="69"/>
    </row>
    <row r="903">
      <c r="D903" s="66"/>
      <c r="E903" s="66"/>
      <c r="F903" s="66"/>
      <c r="G903" s="66"/>
      <c r="H903" s="69"/>
      <c r="I903" s="69"/>
    </row>
    <row r="904">
      <c r="D904" s="66"/>
      <c r="E904" s="66"/>
      <c r="F904" s="66"/>
      <c r="G904" s="66"/>
      <c r="H904" s="69"/>
      <c r="I904" s="69"/>
    </row>
    <row r="905">
      <c r="D905" s="66"/>
      <c r="E905" s="66"/>
      <c r="F905" s="66"/>
      <c r="G905" s="66"/>
      <c r="H905" s="69"/>
      <c r="I905" s="69"/>
    </row>
    <row r="906">
      <c r="D906" s="66"/>
      <c r="E906" s="66"/>
      <c r="F906" s="66"/>
      <c r="G906" s="66"/>
      <c r="H906" s="69"/>
      <c r="I906" s="69"/>
    </row>
    <row r="907">
      <c r="D907" s="66"/>
      <c r="E907" s="66"/>
      <c r="F907" s="66"/>
      <c r="G907" s="66"/>
      <c r="H907" s="69"/>
      <c r="I907" s="69"/>
    </row>
    <row r="908">
      <c r="D908" s="66"/>
      <c r="E908" s="66"/>
      <c r="F908" s="66"/>
      <c r="G908" s="66"/>
      <c r="H908" s="69"/>
      <c r="I908" s="69"/>
    </row>
    <row r="909">
      <c r="D909" s="66"/>
      <c r="E909" s="66"/>
      <c r="F909" s="66"/>
      <c r="G909" s="66"/>
      <c r="H909" s="69"/>
      <c r="I909" s="69"/>
    </row>
    <row r="910">
      <c r="D910" s="66"/>
      <c r="E910" s="66"/>
      <c r="F910" s="66"/>
      <c r="G910" s="66"/>
      <c r="H910" s="69"/>
      <c r="I910" s="69"/>
    </row>
    <row r="911">
      <c r="D911" s="66"/>
      <c r="E911" s="66"/>
      <c r="F911" s="66"/>
      <c r="G911" s="66"/>
      <c r="H911" s="69"/>
      <c r="I911" s="69"/>
    </row>
    <row r="912">
      <c r="D912" s="66"/>
      <c r="E912" s="66"/>
      <c r="F912" s="66"/>
      <c r="G912" s="66"/>
      <c r="H912" s="69"/>
      <c r="I912" s="69"/>
    </row>
    <row r="913">
      <c r="D913" s="66"/>
      <c r="E913" s="66"/>
      <c r="F913" s="66"/>
      <c r="G913" s="66"/>
      <c r="H913" s="69"/>
      <c r="I913" s="69"/>
    </row>
    <row r="914">
      <c r="D914" s="66"/>
      <c r="E914" s="66"/>
      <c r="F914" s="66"/>
      <c r="G914" s="66"/>
      <c r="H914" s="69"/>
      <c r="I914" s="69"/>
    </row>
    <row r="915">
      <c r="D915" s="66"/>
      <c r="E915" s="66"/>
      <c r="F915" s="66"/>
      <c r="G915" s="66"/>
      <c r="H915" s="69"/>
      <c r="I915" s="69"/>
    </row>
    <row r="916">
      <c r="D916" s="66"/>
      <c r="E916" s="66"/>
      <c r="F916" s="66"/>
      <c r="G916" s="66"/>
      <c r="H916" s="69"/>
      <c r="I916" s="69"/>
    </row>
    <row r="917">
      <c r="D917" s="66"/>
      <c r="E917" s="66"/>
      <c r="F917" s="66"/>
      <c r="G917" s="66"/>
      <c r="H917" s="69"/>
      <c r="I917" s="69"/>
    </row>
    <row r="918">
      <c r="D918" s="66"/>
      <c r="E918" s="66"/>
      <c r="F918" s="66"/>
      <c r="G918" s="66"/>
      <c r="H918" s="69"/>
      <c r="I918" s="69"/>
    </row>
    <row r="919">
      <c r="D919" s="66"/>
      <c r="E919" s="66"/>
      <c r="F919" s="66"/>
      <c r="G919" s="66"/>
      <c r="H919" s="69"/>
      <c r="I919" s="69"/>
    </row>
    <row r="920">
      <c r="D920" s="66"/>
      <c r="E920" s="66"/>
      <c r="F920" s="66"/>
      <c r="G920" s="66"/>
      <c r="H920" s="69"/>
      <c r="I920" s="69"/>
    </row>
    <row r="921">
      <c r="D921" s="66"/>
      <c r="E921" s="66"/>
      <c r="F921" s="66"/>
      <c r="G921" s="66"/>
      <c r="H921" s="69"/>
      <c r="I921" s="69"/>
    </row>
    <row r="922">
      <c r="D922" s="66"/>
      <c r="E922" s="66"/>
      <c r="F922" s="66"/>
      <c r="G922" s="66"/>
      <c r="H922" s="69"/>
      <c r="I922" s="69"/>
    </row>
    <row r="923">
      <c r="D923" s="66"/>
      <c r="E923" s="66"/>
      <c r="F923" s="66"/>
      <c r="G923" s="66"/>
      <c r="H923" s="69"/>
      <c r="I923" s="69"/>
    </row>
    <row r="924">
      <c r="D924" s="66"/>
      <c r="E924" s="66"/>
      <c r="F924" s="66"/>
      <c r="G924" s="66"/>
      <c r="H924" s="69"/>
      <c r="I924" s="69"/>
    </row>
    <row r="925">
      <c r="D925" s="66"/>
      <c r="E925" s="66"/>
      <c r="F925" s="66"/>
      <c r="G925" s="66"/>
      <c r="H925" s="69"/>
      <c r="I925" s="69"/>
    </row>
    <row r="926">
      <c r="D926" s="66"/>
      <c r="E926" s="66"/>
      <c r="F926" s="66"/>
      <c r="G926" s="66"/>
      <c r="H926" s="69"/>
      <c r="I926" s="69"/>
    </row>
    <row r="927">
      <c r="D927" s="66"/>
      <c r="E927" s="66"/>
      <c r="F927" s="66"/>
      <c r="G927" s="66"/>
      <c r="H927" s="69"/>
      <c r="I927" s="69"/>
    </row>
    <row r="928">
      <c r="D928" s="66"/>
      <c r="E928" s="66"/>
      <c r="F928" s="66"/>
      <c r="G928" s="66"/>
      <c r="H928" s="69"/>
      <c r="I928" s="69"/>
    </row>
    <row r="929">
      <c r="D929" s="66"/>
      <c r="E929" s="66"/>
      <c r="F929" s="66"/>
      <c r="G929" s="66"/>
      <c r="H929" s="69"/>
      <c r="I929" s="69"/>
    </row>
    <row r="930">
      <c r="D930" s="66"/>
      <c r="E930" s="66"/>
      <c r="F930" s="66"/>
      <c r="G930" s="66"/>
      <c r="H930" s="69"/>
      <c r="I930" s="69"/>
    </row>
    <row r="931">
      <c r="D931" s="66"/>
      <c r="E931" s="66"/>
      <c r="F931" s="66"/>
      <c r="G931" s="66"/>
      <c r="H931" s="69"/>
      <c r="I931" s="69"/>
    </row>
    <row r="932">
      <c r="D932" s="66"/>
      <c r="E932" s="66"/>
      <c r="F932" s="66"/>
      <c r="G932" s="66"/>
      <c r="H932" s="69"/>
      <c r="I932" s="69"/>
    </row>
    <row r="933">
      <c r="D933" s="66"/>
      <c r="E933" s="66"/>
      <c r="F933" s="66"/>
      <c r="G933" s="66"/>
      <c r="H933" s="69"/>
      <c r="I933" s="69"/>
    </row>
    <row r="934">
      <c r="D934" s="66"/>
      <c r="E934" s="66"/>
      <c r="F934" s="66"/>
      <c r="G934" s="66"/>
      <c r="H934" s="69"/>
      <c r="I934" s="69"/>
    </row>
    <row r="935">
      <c r="D935" s="66"/>
      <c r="E935" s="66"/>
      <c r="F935" s="66"/>
      <c r="G935" s="66"/>
      <c r="H935" s="69"/>
      <c r="I935" s="69"/>
    </row>
    <row r="936">
      <c r="D936" s="66"/>
      <c r="E936" s="66"/>
      <c r="F936" s="66"/>
      <c r="G936" s="66"/>
      <c r="H936" s="69"/>
      <c r="I936" s="69"/>
    </row>
    <row r="937">
      <c r="D937" s="66"/>
      <c r="E937" s="66"/>
      <c r="F937" s="66"/>
      <c r="G937" s="66"/>
      <c r="H937" s="69"/>
      <c r="I937" s="69"/>
    </row>
    <row r="938">
      <c r="D938" s="66"/>
      <c r="E938" s="66"/>
      <c r="F938" s="66"/>
      <c r="G938" s="66"/>
      <c r="H938" s="69"/>
      <c r="I938" s="69"/>
    </row>
    <row r="939">
      <c r="D939" s="66"/>
      <c r="E939" s="66"/>
      <c r="F939" s="66"/>
      <c r="G939" s="66"/>
      <c r="H939" s="69"/>
      <c r="I939" s="69"/>
    </row>
    <row r="940">
      <c r="D940" s="66"/>
      <c r="E940" s="66"/>
      <c r="F940" s="66"/>
      <c r="G940" s="66"/>
      <c r="H940" s="69"/>
      <c r="I940" s="69"/>
    </row>
    <row r="941">
      <c r="D941" s="66"/>
      <c r="E941" s="66"/>
      <c r="F941" s="66"/>
      <c r="G941" s="66"/>
      <c r="H941" s="69"/>
      <c r="I941" s="69"/>
    </row>
    <row r="942">
      <c r="D942" s="66"/>
      <c r="E942" s="66"/>
      <c r="F942" s="66"/>
      <c r="G942" s="66"/>
      <c r="H942" s="69"/>
      <c r="I942" s="69"/>
    </row>
    <row r="943">
      <c r="D943" s="66"/>
      <c r="E943" s="66"/>
      <c r="F943" s="66"/>
      <c r="G943" s="66"/>
      <c r="H943" s="69"/>
      <c r="I943" s="69"/>
    </row>
    <row r="944">
      <c r="D944" s="66"/>
      <c r="E944" s="66"/>
      <c r="F944" s="66"/>
      <c r="G944" s="66"/>
      <c r="H944" s="69"/>
      <c r="I944" s="69"/>
    </row>
    <row r="945">
      <c r="D945" s="66"/>
      <c r="E945" s="66"/>
      <c r="F945" s="66"/>
      <c r="G945" s="66"/>
      <c r="H945" s="69"/>
      <c r="I945" s="69"/>
    </row>
    <row r="946">
      <c r="D946" s="66"/>
      <c r="E946" s="66"/>
      <c r="F946" s="66"/>
      <c r="G946" s="66"/>
      <c r="H946" s="69"/>
      <c r="I946" s="69"/>
    </row>
    <row r="947">
      <c r="D947" s="66"/>
      <c r="E947" s="66"/>
      <c r="F947" s="66"/>
      <c r="G947" s="66"/>
      <c r="H947" s="69"/>
      <c r="I947" s="69"/>
    </row>
    <row r="948">
      <c r="D948" s="66"/>
      <c r="E948" s="66"/>
      <c r="F948" s="66"/>
      <c r="G948" s="66"/>
      <c r="H948" s="69"/>
      <c r="I948" s="69"/>
    </row>
    <row r="949">
      <c r="D949" s="66"/>
      <c r="E949" s="66"/>
      <c r="F949" s="66"/>
      <c r="G949" s="66"/>
      <c r="H949" s="69"/>
      <c r="I949" s="69"/>
    </row>
    <row r="950">
      <c r="D950" s="66"/>
      <c r="E950" s="66"/>
      <c r="F950" s="66"/>
      <c r="G950" s="66"/>
      <c r="H950" s="69"/>
      <c r="I950" s="69"/>
    </row>
    <row r="951">
      <c r="D951" s="66"/>
      <c r="E951" s="66"/>
      <c r="F951" s="66"/>
      <c r="G951" s="66"/>
      <c r="H951" s="69"/>
      <c r="I951" s="69"/>
    </row>
    <row r="952">
      <c r="D952" s="66"/>
      <c r="E952" s="66"/>
      <c r="F952" s="66"/>
      <c r="G952" s="66"/>
      <c r="H952" s="69"/>
      <c r="I952" s="69"/>
    </row>
    <row r="953">
      <c r="D953" s="66"/>
      <c r="E953" s="66"/>
      <c r="F953" s="66"/>
      <c r="G953" s="66"/>
      <c r="H953" s="69"/>
      <c r="I953" s="69"/>
    </row>
    <row r="954">
      <c r="D954" s="66"/>
      <c r="E954" s="66"/>
      <c r="F954" s="66"/>
      <c r="G954" s="66"/>
      <c r="H954" s="69"/>
      <c r="I954" s="69"/>
    </row>
    <row r="955">
      <c r="D955" s="66"/>
      <c r="E955" s="66"/>
      <c r="F955" s="66"/>
      <c r="G955" s="66"/>
      <c r="H955" s="69"/>
      <c r="I955" s="69"/>
    </row>
    <row r="956">
      <c r="D956" s="66"/>
      <c r="E956" s="66"/>
      <c r="F956" s="66"/>
      <c r="G956" s="66"/>
      <c r="H956" s="69"/>
      <c r="I956" s="69"/>
    </row>
    <row r="957">
      <c r="D957" s="66"/>
      <c r="E957" s="66"/>
      <c r="F957" s="66"/>
      <c r="G957" s="66"/>
      <c r="H957" s="69"/>
      <c r="I957" s="69"/>
    </row>
    <row r="958">
      <c r="D958" s="66"/>
      <c r="E958" s="66"/>
      <c r="F958" s="66"/>
      <c r="G958" s="66"/>
      <c r="H958" s="69"/>
      <c r="I958" s="69"/>
    </row>
    <row r="959">
      <c r="D959" s="66"/>
      <c r="E959" s="66"/>
      <c r="F959" s="66"/>
      <c r="G959" s="66"/>
      <c r="H959" s="69"/>
      <c r="I959" s="69"/>
    </row>
    <row r="960">
      <c r="D960" s="66"/>
      <c r="E960" s="66"/>
      <c r="F960" s="66"/>
      <c r="G960" s="66"/>
      <c r="H960" s="69"/>
      <c r="I960" s="69"/>
    </row>
    <row r="961">
      <c r="D961" s="66"/>
      <c r="E961" s="66"/>
      <c r="F961" s="66"/>
      <c r="G961" s="66"/>
      <c r="H961" s="69"/>
      <c r="I961" s="69"/>
    </row>
    <row r="962">
      <c r="D962" s="66"/>
      <c r="E962" s="66"/>
      <c r="F962" s="66"/>
      <c r="G962" s="66"/>
      <c r="H962" s="69"/>
      <c r="I962" s="69"/>
    </row>
    <row r="963">
      <c r="D963" s="66"/>
      <c r="E963" s="66"/>
      <c r="F963" s="66"/>
      <c r="G963" s="66"/>
      <c r="H963" s="69"/>
      <c r="I963" s="69"/>
    </row>
    <row r="964">
      <c r="D964" s="66"/>
      <c r="E964" s="66"/>
      <c r="F964" s="66"/>
      <c r="G964" s="66"/>
      <c r="H964" s="69"/>
      <c r="I964" s="69"/>
    </row>
    <row r="965">
      <c r="D965" s="66"/>
      <c r="E965" s="66"/>
      <c r="F965" s="66"/>
      <c r="G965" s="66"/>
      <c r="H965" s="69"/>
      <c r="I965" s="69"/>
    </row>
    <row r="966">
      <c r="D966" s="66"/>
      <c r="E966" s="66"/>
      <c r="F966" s="66"/>
      <c r="G966" s="66"/>
      <c r="H966" s="69"/>
      <c r="I966" s="69"/>
    </row>
    <row r="967">
      <c r="D967" s="66"/>
      <c r="E967" s="66"/>
      <c r="F967" s="66"/>
      <c r="G967" s="66"/>
      <c r="H967" s="69"/>
      <c r="I967" s="69"/>
    </row>
    <row r="968">
      <c r="D968" s="66"/>
      <c r="E968" s="66"/>
      <c r="F968" s="66"/>
      <c r="G968" s="66"/>
      <c r="H968" s="69"/>
      <c r="I968" s="69"/>
    </row>
    <row r="969">
      <c r="D969" s="66"/>
      <c r="E969" s="66"/>
      <c r="F969" s="66"/>
      <c r="G969" s="66"/>
      <c r="H969" s="69"/>
      <c r="I969" s="69"/>
    </row>
    <row r="970">
      <c r="D970" s="66"/>
      <c r="E970" s="66"/>
      <c r="F970" s="66"/>
      <c r="G970" s="66"/>
      <c r="H970" s="69"/>
      <c r="I970" s="69"/>
    </row>
    <row r="971">
      <c r="D971" s="66"/>
      <c r="E971" s="66"/>
      <c r="F971" s="66"/>
      <c r="G971" s="66"/>
      <c r="H971" s="69"/>
      <c r="I971" s="69"/>
    </row>
    <row r="972">
      <c r="D972" s="66"/>
      <c r="E972" s="66"/>
      <c r="F972" s="66"/>
      <c r="G972" s="66"/>
      <c r="H972" s="69"/>
      <c r="I972" s="69"/>
    </row>
    <row r="973">
      <c r="D973" s="66"/>
      <c r="E973" s="66"/>
      <c r="F973" s="66"/>
      <c r="G973" s="66"/>
      <c r="H973" s="69"/>
      <c r="I973" s="69"/>
    </row>
    <row r="974">
      <c r="D974" s="66"/>
      <c r="E974" s="66"/>
      <c r="F974" s="66"/>
      <c r="G974" s="66"/>
      <c r="H974" s="69"/>
      <c r="I974" s="69"/>
    </row>
    <row r="975">
      <c r="D975" s="66"/>
      <c r="E975" s="66"/>
      <c r="F975" s="66"/>
      <c r="G975" s="66"/>
      <c r="H975" s="69"/>
      <c r="I975" s="69"/>
    </row>
    <row r="976">
      <c r="D976" s="66"/>
      <c r="E976" s="66"/>
      <c r="F976" s="66"/>
      <c r="G976" s="66"/>
      <c r="H976" s="69"/>
      <c r="I976" s="69"/>
    </row>
    <row r="977">
      <c r="D977" s="66"/>
      <c r="E977" s="66"/>
      <c r="F977" s="66"/>
      <c r="G977" s="66"/>
      <c r="H977" s="69"/>
      <c r="I977" s="69"/>
    </row>
    <row r="978">
      <c r="D978" s="66"/>
      <c r="E978" s="66"/>
      <c r="F978" s="66"/>
      <c r="G978" s="66"/>
      <c r="H978" s="69"/>
      <c r="I978" s="69"/>
    </row>
    <row r="979">
      <c r="D979" s="66"/>
      <c r="E979" s="66"/>
      <c r="F979" s="66"/>
      <c r="G979" s="66"/>
      <c r="H979" s="69"/>
      <c r="I979" s="69"/>
    </row>
    <row r="980">
      <c r="D980" s="66"/>
      <c r="E980" s="66"/>
      <c r="F980" s="66"/>
      <c r="G980" s="66"/>
      <c r="H980" s="69"/>
      <c r="I980" s="69"/>
    </row>
    <row r="981">
      <c r="D981" s="66"/>
      <c r="E981" s="66"/>
      <c r="F981" s="66"/>
      <c r="G981" s="66"/>
      <c r="H981" s="69"/>
      <c r="I981" s="69"/>
    </row>
    <row r="982">
      <c r="D982" s="66"/>
      <c r="E982" s="66"/>
      <c r="F982" s="66"/>
      <c r="G982" s="66"/>
      <c r="H982" s="69"/>
      <c r="I982" s="69"/>
    </row>
    <row r="983">
      <c r="D983" s="66"/>
      <c r="E983" s="66"/>
      <c r="F983" s="66"/>
      <c r="G983" s="66"/>
      <c r="H983" s="69"/>
      <c r="I983" s="69"/>
    </row>
    <row r="984">
      <c r="D984" s="66"/>
      <c r="E984" s="66"/>
      <c r="F984" s="66"/>
      <c r="G984" s="66"/>
      <c r="H984" s="69"/>
      <c r="I984" s="69"/>
    </row>
    <row r="985">
      <c r="D985" s="66"/>
      <c r="E985" s="66"/>
      <c r="F985" s="66"/>
      <c r="G985" s="66"/>
      <c r="H985" s="69"/>
      <c r="I985" s="69"/>
    </row>
    <row r="986">
      <c r="D986" s="66"/>
      <c r="E986" s="66"/>
      <c r="F986" s="66"/>
      <c r="G986" s="66"/>
      <c r="H986" s="69"/>
      <c r="I986" s="69"/>
    </row>
    <row r="987">
      <c r="D987" s="66"/>
      <c r="E987" s="66"/>
      <c r="F987" s="66"/>
      <c r="G987" s="66"/>
      <c r="H987" s="69"/>
      <c r="I987" s="69"/>
    </row>
    <row r="988">
      <c r="D988" s="66"/>
      <c r="E988" s="66"/>
      <c r="F988" s="66"/>
      <c r="G988" s="66"/>
      <c r="H988" s="69"/>
      <c r="I988" s="69"/>
    </row>
    <row r="989">
      <c r="D989" s="66"/>
      <c r="E989" s="66"/>
      <c r="F989" s="66"/>
      <c r="G989" s="66"/>
      <c r="H989" s="69"/>
      <c r="I989" s="69"/>
    </row>
    <row r="990">
      <c r="D990" s="66"/>
      <c r="E990" s="66"/>
      <c r="F990" s="66"/>
      <c r="G990" s="66"/>
      <c r="H990" s="69"/>
      <c r="I990" s="69"/>
    </row>
    <row r="991">
      <c r="D991" s="66"/>
      <c r="E991" s="66"/>
      <c r="F991" s="66"/>
      <c r="G991" s="66"/>
      <c r="H991" s="69"/>
      <c r="I991" s="69"/>
    </row>
    <row r="992">
      <c r="D992" s="66"/>
      <c r="E992" s="66"/>
      <c r="F992" s="66"/>
      <c r="G992" s="66"/>
      <c r="H992" s="69"/>
      <c r="I992" s="69"/>
    </row>
    <row r="993">
      <c r="D993" s="66"/>
      <c r="E993" s="66"/>
      <c r="F993" s="66"/>
      <c r="G993" s="66"/>
      <c r="H993" s="69"/>
      <c r="I993" s="69"/>
    </row>
    <row r="994">
      <c r="D994" s="66"/>
      <c r="E994" s="66"/>
      <c r="F994" s="66"/>
      <c r="G994" s="66"/>
      <c r="H994" s="69"/>
      <c r="I994" s="69"/>
    </row>
    <row r="995">
      <c r="D995" s="66"/>
      <c r="E995" s="66"/>
      <c r="F995" s="66"/>
      <c r="G995" s="66"/>
      <c r="H995" s="69"/>
      <c r="I995" s="69"/>
    </row>
    <row r="996">
      <c r="D996" s="66"/>
      <c r="E996" s="66"/>
      <c r="F996" s="66"/>
      <c r="G996" s="66"/>
      <c r="H996" s="69"/>
      <c r="I996" s="69"/>
    </row>
    <row r="997">
      <c r="D997" s="66"/>
      <c r="E997" s="66"/>
      <c r="F997" s="66"/>
      <c r="G997" s="66"/>
      <c r="H997" s="69"/>
      <c r="I997" s="69"/>
    </row>
    <row r="998">
      <c r="D998" s="66"/>
      <c r="E998" s="66"/>
      <c r="F998" s="66"/>
      <c r="G998" s="66"/>
      <c r="H998" s="69"/>
      <c r="I998" s="69"/>
    </row>
    <row r="999">
      <c r="D999" s="66"/>
      <c r="E999" s="66"/>
      <c r="F999" s="66"/>
      <c r="G999" s="66"/>
      <c r="H999" s="69"/>
      <c r="I999" s="69"/>
    </row>
    <row r="1000">
      <c r="D1000" s="66"/>
      <c r="E1000" s="66"/>
      <c r="F1000" s="66"/>
      <c r="G1000" s="66"/>
      <c r="H1000" s="69"/>
      <c r="I1000" s="69"/>
    </row>
  </sheetData>
  <mergeCells count="3">
    <mergeCell ref="A3:A8"/>
    <mergeCell ref="A9:A11"/>
    <mergeCell ref="A13:A14"/>
  </mergeCell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25"/>
    <col customWidth="1" min="5" max="5" width="34.63"/>
  </cols>
  <sheetData>
    <row r="1">
      <c r="A1" s="1" t="s">
        <v>1390</v>
      </c>
      <c r="B1" s="1" t="s">
        <v>7</v>
      </c>
      <c r="C1" s="1" t="s">
        <v>1396</v>
      </c>
      <c r="D1" s="1" t="s">
        <v>1941</v>
      </c>
      <c r="E1" s="36" t="s">
        <v>1942</v>
      </c>
    </row>
    <row r="2">
      <c r="A2" s="42" t="s">
        <v>1411</v>
      </c>
      <c r="B2" s="1">
        <v>2023.0</v>
      </c>
      <c r="C2" s="1" t="s">
        <v>1414</v>
      </c>
      <c r="D2" s="1" t="s">
        <v>1415</v>
      </c>
      <c r="E2" s="36" t="s">
        <v>1943</v>
      </c>
    </row>
    <row r="3">
      <c r="A3" s="38" t="s">
        <v>1426</v>
      </c>
      <c r="B3" s="1">
        <v>2022.0</v>
      </c>
      <c r="C3" s="1" t="s">
        <v>1430</v>
      </c>
      <c r="D3" s="1" t="s">
        <v>1415</v>
      </c>
      <c r="E3" s="36" t="s">
        <v>1944</v>
      </c>
    </row>
    <row r="4">
      <c r="A4" s="38" t="s">
        <v>1945</v>
      </c>
      <c r="B4" s="38" t="s">
        <v>1946</v>
      </c>
      <c r="C4" s="46" t="s">
        <v>1452</v>
      </c>
      <c r="D4" s="1" t="s">
        <v>1415</v>
      </c>
      <c r="E4" s="36" t="s">
        <v>1947</v>
      </c>
    </row>
    <row r="5">
      <c r="A5" s="38" t="s">
        <v>1469</v>
      </c>
      <c r="B5" s="1">
        <v>2020.0</v>
      </c>
      <c r="C5" s="1" t="s">
        <v>1471</v>
      </c>
      <c r="D5" s="1" t="s">
        <v>1415</v>
      </c>
      <c r="E5" s="36" t="s">
        <v>1948</v>
      </c>
    </row>
    <row r="6">
      <c r="A6" s="1" t="s">
        <v>1481</v>
      </c>
      <c r="B6" s="1">
        <v>2020.0</v>
      </c>
      <c r="C6" s="1" t="s">
        <v>1484</v>
      </c>
      <c r="D6" s="1" t="s">
        <v>1415</v>
      </c>
      <c r="E6" s="36" t="s">
        <v>1949</v>
      </c>
    </row>
    <row r="7">
      <c r="A7" s="1" t="s">
        <v>1490</v>
      </c>
      <c r="B7" s="1">
        <v>2019.0</v>
      </c>
      <c r="C7" s="48" t="s">
        <v>1494</v>
      </c>
      <c r="D7" s="1" t="s">
        <v>1546</v>
      </c>
      <c r="E7" s="36" t="s">
        <v>1950</v>
      </c>
    </row>
    <row r="8">
      <c r="A8" s="1" t="s">
        <v>1500</v>
      </c>
      <c r="B8" s="1">
        <v>2019.0</v>
      </c>
      <c r="C8" s="1" t="s">
        <v>1506</v>
      </c>
      <c r="D8" s="1" t="s">
        <v>1415</v>
      </c>
      <c r="E8" s="36" t="s">
        <v>1951</v>
      </c>
    </row>
    <row r="9">
      <c r="A9" s="1" t="s">
        <v>1510</v>
      </c>
      <c r="B9" s="1">
        <v>2018.0</v>
      </c>
      <c r="C9" s="1" t="s">
        <v>1513</v>
      </c>
      <c r="D9" s="1" t="s">
        <v>1415</v>
      </c>
      <c r="E9" s="36" t="s">
        <v>1952</v>
      </c>
    </row>
    <row r="10">
      <c r="E10" s="43"/>
    </row>
    <row r="11">
      <c r="E11" s="43"/>
    </row>
    <row r="12">
      <c r="E12" s="43"/>
    </row>
    <row r="13">
      <c r="E13" s="43"/>
    </row>
    <row r="14">
      <c r="E14" s="43"/>
    </row>
    <row r="15">
      <c r="E15" s="43"/>
    </row>
    <row r="16">
      <c r="E16" s="43"/>
    </row>
    <row r="17">
      <c r="E17" s="43"/>
    </row>
    <row r="18">
      <c r="E18" s="43"/>
    </row>
    <row r="19">
      <c r="E19" s="43"/>
    </row>
    <row r="20">
      <c r="E20" s="43"/>
    </row>
    <row r="21">
      <c r="E21" s="43"/>
    </row>
    <row r="22">
      <c r="E22" s="43"/>
    </row>
    <row r="23">
      <c r="E23" s="43"/>
    </row>
    <row r="24">
      <c r="E24" s="43"/>
    </row>
    <row r="25">
      <c r="E25" s="43"/>
    </row>
    <row r="26">
      <c r="E26" s="43"/>
    </row>
    <row r="27">
      <c r="E27" s="43"/>
    </row>
    <row r="28">
      <c r="E28" s="43"/>
    </row>
    <row r="29">
      <c r="E29" s="43"/>
    </row>
    <row r="30">
      <c r="E30" s="43"/>
    </row>
    <row r="31">
      <c r="E31" s="43"/>
    </row>
    <row r="32">
      <c r="E32" s="43"/>
    </row>
    <row r="33">
      <c r="E33" s="43"/>
    </row>
    <row r="34">
      <c r="E34" s="43"/>
    </row>
    <row r="35">
      <c r="E35" s="43"/>
    </row>
    <row r="36">
      <c r="E36" s="43"/>
    </row>
    <row r="37">
      <c r="E37" s="43"/>
    </row>
    <row r="38">
      <c r="E38" s="43"/>
    </row>
    <row r="39">
      <c r="E39" s="43"/>
    </row>
    <row r="40">
      <c r="E40" s="43"/>
    </row>
    <row r="41">
      <c r="E41" s="43"/>
    </row>
    <row r="42">
      <c r="E42" s="43"/>
    </row>
    <row r="43">
      <c r="E43" s="43"/>
    </row>
    <row r="44">
      <c r="E44" s="43"/>
    </row>
    <row r="45">
      <c r="E45" s="43"/>
    </row>
    <row r="46">
      <c r="E46" s="43"/>
    </row>
    <row r="47">
      <c r="E47" s="43"/>
    </row>
    <row r="48">
      <c r="E48" s="43"/>
    </row>
    <row r="49">
      <c r="E49" s="43"/>
    </row>
    <row r="50">
      <c r="E50" s="43"/>
    </row>
    <row r="51">
      <c r="E51" s="43"/>
    </row>
    <row r="52">
      <c r="E52" s="43"/>
    </row>
    <row r="53">
      <c r="E53" s="43"/>
    </row>
    <row r="54">
      <c r="E54" s="43"/>
    </row>
    <row r="55">
      <c r="E55" s="43"/>
    </row>
    <row r="56">
      <c r="E56" s="43"/>
    </row>
    <row r="57">
      <c r="E57" s="43"/>
    </row>
    <row r="58">
      <c r="E58" s="43"/>
    </row>
    <row r="59">
      <c r="E59" s="43"/>
    </row>
    <row r="60">
      <c r="E60" s="43"/>
    </row>
    <row r="61">
      <c r="E61" s="43"/>
    </row>
    <row r="62">
      <c r="E62" s="43"/>
    </row>
    <row r="63">
      <c r="E63" s="43"/>
    </row>
    <row r="64">
      <c r="E64" s="43"/>
    </row>
    <row r="65">
      <c r="E65" s="43"/>
    </row>
    <row r="66">
      <c r="E66" s="43"/>
    </row>
    <row r="67">
      <c r="E67" s="43"/>
    </row>
    <row r="68">
      <c r="E68" s="43"/>
    </row>
    <row r="69">
      <c r="E69" s="43"/>
    </row>
    <row r="70">
      <c r="E70" s="43"/>
    </row>
    <row r="71">
      <c r="E71" s="43"/>
    </row>
    <row r="72">
      <c r="E72" s="43"/>
    </row>
    <row r="73">
      <c r="E73" s="43"/>
    </row>
    <row r="74">
      <c r="E74" s="43"/>
    </row>
    <row r="75">
      <c r="E75" s="43"/>
    </row>
    <row r="76">
      <c r="E76" s="43"/>
    </row>
    <row r="77">
      <c r="E77" s="43"/>
    </row>
    <row r="78">
      <c r="E78" s="43"/>
    </row>
    <row r="79">
      <c r="E79" s="43"/>
    </row>
    <row r="80">
      <c r="E80" s="43"/>
    </row>
    <row r="81">
      <c r="E81" s="43"/>
    </row>
    <row r="82">
      <c r="E82" s="43"/>
    </row>
    <row r="83">
      <c r="E83" s="43"/>
    </row>
    <row r="84">
      <c r="E84" s="43"/>
    </row>
    <row r="85">
      <c r="E85" s="43"/>
    </row>
    <row r="86">
      <c r="E86" s="43"/>
    </row>
    <row r="87">
      <c r="E87" s="43"/>
    </row>
    <row r="88">
      <c r="E88" s="43"/>
    </row>
    <row r="89">
      <c r="E89" s="43"/>
    </row>
    <row r="90">
      <c r="E90" s="43"/>
    </row>
    <row r="91">
      <c r="E91" s="43"/>
    </row>
    <row r="92">
      <c r="E92" s="43"/>
    </row>
    <row r="93">
      <c r="E93" s="43"/>
    </row>
    <row r="94">
      <c r="E94" s="43"/>
    </row>
    <row r="95">
      <c r="E95" s="43"/>
    </row>
    <row r="96">
      <c r="E96" s="43"/>
    </row>
    <row r="97">
      <c r="E97" s="43"/>
    </row>
    <row r="98">
      <c r="E98" s="43"/>
    </row>
    <row r="99">
      <c r="E99" s="43"/>
    </row>
    <row r="100">
      <c r="E100" s="43"/>
    </row>
    <row r="101">
      <c r="E101" s="43"/>
    </row>
    <row r="102">
      <c r="E102" s="43"/>
    </row>
    <row r="103">
      <c r="E103" s="43"/>
    </row>
    <row r="104">
      <c r="E104" s="43"/>
    </row>
    <row r="105">
      <c r="E105" s="43"/>
    </row>
    <row r="106">
      <c r="E106" s="43"/>
    </row>
    <row r="107">
      <c r="E107" s="43"/>
    </row>
    <row r="108">
      <c r="E108" s="43"/>
    </row>
    <row r="109">
      <c r="E109" s="43"/>
    </row>
    <row r="110">
      <c r="E110" s="43"/>
    </row>
    <row r="111">
      <c r="E111" s="43"/>
    </row>
    <row r="112">
      <c r="E112" s="43"/>
    </row>
    <row r="113">
      <c r="E113" s="43"/>
    </row>
    <row r="114">
      <c r="E114" s="43"/>
    </row>
    <row r="115">
      <c r="E115" s="43"/>
    </row>
    <row r="116">
      <c r="E116" s="43"/>
    </row>
    <row r="117">
      <c r="E117" s="43"/>
    </row>
    <row r="118">
      <c r="E118" s="43"/>
    </row>
    <row r="119">
      <c r="E119" s="43"/>
    </row>
    <row r="120">
      <c r="E120" s="43"/>
    </row>
    <row r="121">
      <c r="E121" s="43"/>
    </row>
    <row r="122">
      <c r="E122" s="43"/>
    </row>
    <row r="123">
      <c r="E123" s="43"/>
    </row>
    <row r="124">
      <c r="E124" s="43"/>
    </row>
    <row r="125">
      <c r="E125" s="43"/>
    </row>
    <row r="126">
      <c r="E126" s="43"/>
    </row>
    <row r="127">
      <c r="E127" s="43"/>
    </row>
    <row r="128">
      <c r="E128" s="43"/>
    </row>
    <row r="129">
      <c r="E129" s="43"/>
    </row>
    <row r="130">
      <c r="E130" s="43"/>
    </row>
    <row r="131">
      <c r="E131" s="43"/>
    </row>
    <row r="132">
      <c r="E132" s="43"/>
    </row>
    <row r="133">
      <c r="E133" s="43"/>
    </row>
    <row r="134">
      <c r="E134" s="43"/>
    </row>
    <row r="135">
      <c r="E135" s="43"/>
    </row>
    <row r="136">
      <c r="E136" s="43"/>
    </row>
    <row r="137">
      <c r="E137" s="43"/>
    </row>
    <row r="138">
      <c r="E138" s="43"/>
    </row>
    <row r="139">
      <c r="E139" s="43"/>
    </row>
    <row r="140">
      <c r="E140" s="43"/>
    </row>
    <row r="141">
      <c r="E141" s="43"/>
    </row>
    <row r="142">
      <c r="E142" s="43"/>
    </row>
    <row r="143">
      <c r="E143" s="43"/>
    </row>
    <row r="144">
      <c r="E144" s="43"/>
    </row>
    <row r="145">
      <c r="E145" s="43"/>
    </row>
    <row r="146">
      <c r="E146" s="43"/>
    </row>
    <row r="147">
      <c r="E147" s="43"/>
    </row>
    <row r="148">
      <c r="E148" s="43"/>
    </row>
    <row r="149">
      <c r="E149" s="43"/>
    </row>
    <row r="150">
      <c r="E150" s="43"/>
    </row>
    <row r="151">
      <c r="E151" s="43"/>
    </row>
    <row r="152">
      <c r="E152" s="43"/>
    </row>
    <row r="153">
      <c r="E153" s="43"/>
    </row>
    <row r="154">
      <c r="E154" s="43"/>
    </row>
    <row r="155">
      <c r="E155" s="43"/>
    </row>
    <row r="156">
      <c r="E156" s="43"/>
    </row>
    <row r="157">
      <c r="E157" s="43"/>
    </row>
    <row r="158">
      <c r="E158" s="43"/>
    </row>
    <row r="159">
      <c r="E159" s="43"/>
    </row>
    <row r="160">
      <c r="E160" s="43"/>
    </row>
    <row r="161">
      <c r="E161" s="43"/>
    </row>
    <row r="162">
      <c r="E162" s="43"/>
    </row>
    <row r="163">
      <c r="E163" s="43"/>
    </row>
    <row r="164">
      <c r="E164" s="43"/>
    </row>
    <row r="165">
      <c r="E165" s="43"/>
    </row>
    <row r="166">
      <c r="E166" s="43"/>
    </row>
    <row r="167">
      <c r="E167" s="43"/>
    </row>
    <row r="168">
      <c r="E168" s="43"/>
    </row>
    <row r="169">
      <c r="E169" s="43"/>
    </row>
    <row r="170">
      <c r="E170" s="43"/>
    </row>
    <row r="171">
      <c r="E171" s="43"/>
    </row>
    <row r="172">
      <c r="E172" s="43"/>
    </row>
    <row r="173">
      <c r="E173" s="43"/>
    </row>
    <row r="174">
      <c r="E174" s="43"/>
    </row>
    <row r="175">
      <c r="E175" s="43"/>
    </row>
    <row r="176">
      <c r="E176" s="43"/>
    </row>
    <row r="177">
      <c r="E177" s="43"/>
    </row>
    <row r="178">
      <c r="E178" s="43"/>
    </row>
    <row r="179">
      <c r="E179" s="43"/>
    </row>
    <row r="180">
      <c r="E180" s="43"/>
    </row>
    <row r="181">
      <c r="E181" s="43"/>
    </row>
    <row r="182">
      <c r="E182" s="43"/>
    </row>
    <row r="183">
      <c r="E183" s="43"/>
    </row>
    <row r="184">
      <c r="E184" s="43"/>
    </row>
    <row r="185">
      <c r="E185" s="43"/>
    </row>
    <row r="186">
      <c r="E186" s="43"/>
    </row>
    <row r="187">
      <c r="E187" s="43"/>
    </row>
    <row r="188">
      <c r="E188" s="43"/>
    </row>
    <row r="189">
      <c r="E189" s="43"/>
    </row>
    <row r="190">
      <c r="E190" s="43"/>
    </row>
    <row r="191">
      <c r="E191" s="43"/>
    </row>
    <row r="192">
      <c r="E192" s="43"/>
    </row>
    <row r="193">
      <c r="E193" s="43"/>
    </row>
    <row r="194">
      <c r="E194" s="43"/>
    </row>
    <row r="195">
      <c r="E195" s="43"/>
    </row>
    <row r="196">
      <c r="E196" s="43"/>
    </row>
    <row r="197">
      <c r="E197" s="43"/>
    </row>
    <row r="198">
      <c r="E198" s="43"/>
    </row>
    <row r="199">
      <c r="E199" s="43"/>
    </row>
    <row r="200">
      <c r="E200" s="43"/>
    </row>
    <row r="201">
      <c r="E201" s="43"/>
    </row>
    <row r="202">
      <c r="E202" s="43"/>
    </row>
    <row r="203">
      <c r="E203" s="43"/>
    </row>
    <row r="204">
      <c r="E204" s="43"/>
    </row>
    <row r="205">
      <c r="E205" s="43"/>
    </row>
    <row r="206">
      <c r="E206" s="43"/>
    </row>
    <row r="207">
      <c r="E207" s="43"/>
    </row>
    <row r="208">
      <c r="E208" s="43"/>
    </row>
    <row r="209">
      <c r="E209" s="43"/>
    </row>
    <row r="210">
      <c r="E210" s="43"/>
    </row>
    <row r="211">
      <c r="E211" s="43"/>
    </row>
    <row r="212">
      <c r="E212" s="43"/>
    </row>
    <row r="213">
      <c r="E213" s="43"/>
    </row>
    <row r="214">
      <c r="E214" s="43"/>
    </row>
    <row r="215">
      <c r="E215" s="43"/>
    </row>
    <row r="216">
      <c r="E216" s="43"/>
    </row>
    <row r="217">
      <c r="E217" s="43"/>
    </row>
    <row r="218">
      <c r="E218" s="43"/>
    </row>
    <row r="219">
      <c r="E219" s="43"/>
    </row>
    <row r="220">
      <c r="E220" s="43"/>
    </row>
    <row r="221">
      <c r="E221" s="43"/>
    </row>
    <row r="222">
      <c r="E222" s="43"/>
    </row>
    <row r="223">
      <c r="E223" s="43"/>
    </row>
    <row r="224">
      <c r="E224" s="43"/>
    </row>
    <row r="225">
      <c r="E225" s="43"/>
    </row>
    <row r="226">
      <c r="E226" s="43"/>
    </row>
    <row r="227">
      <c r="E227" s="43"/>
    </row>
    <row r="228">
      <c r="E228" s="43"/>
    </row>
    <row r="229">
      <c r="E229" s="43"/>
    </row>
    <row r="230">
      <c r="E230" s="43"/>
    </row>
    <row r="231">
      <c r="E231" s="43"/>
    </row>
    <row r="232">
      <c r="E232" s="43"/>
    </row>
    <row r="233">
      <c r="E233" s="43"/>
    </row>
    <row r="234">
      <c r="E234" s="43"/>
    </row>
    <row r="235">
      <c r="E235" s="43"/>
    </row>
    <row r="236">
      <c r="E236" s="43"/>
    </row>
    <row r="237">
      <c r="E237" s="43"/>
    </row>
    <row r="238">
      <c r="E238" s="43"/>
    </row>
    <row r="239">
      <c r="E239" s="43"/>
    </row>
    <row r="240">
      <c r="E240" s="43"/>
    </row>
    <row r="241">
      <c r="E241" s="43"/>
    </row>
    <row r="242">
      <c r="E242" s="43"/>
    </row>
    <row r="243">
      <c r="E243" s="43"/>
    </row>
    <row r="244">
      <c r="E244" s="43"/>
    </row>
    <row r="245">
      <c r="E245" s="43"/>
    </row>
    <row r="246">
      <c r="E246" s="43"/>
    </row>
    <row r="247">
      <c r="E247" s="43"/>
    </row>
    <row r="248">
      <c r="E248" s="43"/>
    </row>
    <row r="249">
      <c r="E249" s="43"/>
    </row>
    <row r="250">
      <c r="E250" s="43"/>
    </row>
    <row r="251">
      <c r="E251" s="43"/>
    </row>
    <row r="252">
      <c r="E252" s="43"/>
    </row>
    <row r="253">
      <c r="E253" s="43"/>
    </row>
    <row r="254">
      <c r="E254" s="43"/>
    </row>
    <row r="255">
      <c r="E255" s="43"/>
    </row>
    <row r="256">
      <c r="E256" s="43"/>
    </row>
    <row r="257">
      <c r="E257" s="43"/>
    </row>
    <row r="258">
      <c r="E258" s="43"/>
    </row>
    <row r="259">
      <c r="E259" s="43"/>
    </row>
    <row r="260">
      <c r="E260" s="43"/>
    </row>
    <row r="261">
      <c r="E261" s="43"/>
    </row>
    <row r="262">
      <c r="E262" s="43"/>
    </row>
    <row r="263">
      <c r="E263" s="43"/>
    </row>
    <row r="264">
      <c r="E264" s="43"/>
    </row>
    <row r="265">
      <c r="E265" s="43"/>
    </row>
    <row r="266">
      <c r="E266" s="43"/>
    </row>
    <row r="267">
      <c r="E267" s="43"/>
    </row>
    <row r="268">
      <c r="E268" s="43"/>
    </row>
    <row r="269">
      <c r="E269" s="43"/>
    </row>
    <row r="270">
      <c r="E270" s="43"/>
    </row>
    <row r="271">
      <c r="E271" s="43"/>
    </row>
    <row r="272">
      <c r="E272" s="43"/>
    </row>
    <row r="273">
      <c r="E273" s="43"/>
    </row>
    <row r="274">
      <c r="E274" s="43"/>
    </row>
    <row r="275">
      <c r="E275" s="43"/>
    </row>
    <row r="276">
      <c r="E276" s="43"/>
    </row>
    <row r="277">
      <c r="E277" s="43"/>
    </row>
    <row r="278">
      <c r="E278" s="43"/>
    </row>
    <row r="279">
      <c r="E279" s="43"/>
    </row>
    <row r="280">
      <c r="E280" s="43"/>
    </row>
    <row r="281">
      <c r="E281" s="43"/>
    </row>
    <row r="282">
      <c r="E282" s="43"/>
    </row>
    <row r="283">
      <c r="E283" s="43"/>
    </row>
    <row r="284">
      <c r="E284" s="43"/>
    </row>
    <row r="285">
      <c r="E285" s="43"/>
    </row>
    <row r="286">
      <c r="E286" s="43"/>
    </row>
    <row r="287">
      <c r="E287" s="43"/>
    </row>
    <row r="288">
      <c r="E288" s="43"/>
    </row>
    <row r="289">
      <c r="E289" s="43"/>
    </row>
    <row r="290">
      <c r="E290" s="43"/>
    </row>
    <row r="291">
      <c r="E291" s="43"/>
    </row>
    <row r="292">
      <c r="E292" s="43"/>
    </row>
    <row r="293">
      <c r="E293" s="43"/>
    </row>
    <row r="294">
      <c r="E294" s="43"/>
    </row>
    <row r="295">
      <c r="E295" s="43"/>
    </row>
    <row r="296">
      <c r="E296" s="43"/>
    </row>
    <row r="297">
      <c r="E297" s="43"/>
    </row>
    <row r="298">
      <c r="E298" s="43"/>
    </row>
    <row r="299">
      <c r="E299" s="43"/>
    </row>
    <row r="300">
      <c r="E300" s="43"/>
    </row>
    <row r="301">
      <c r="E301" s="43"/>
    </row>
    <row r="302">
      <c r="E302" s="43"/>
    </row>
    <row r="303">
      <c r="E303" s="43"/>
    </row>
    <row r="304">
      <c r="E304" s="43"/>
    </row>
    <row r="305">
      <c r="E305" s="43"/>
    </row>
    <row r="306">
      <c r="E306" s="43"/>
    </row>
    <row r="307">
      <c r="E307" s="43"/>
    </row>
    <row r="308">
      <c r="E308" s="43"/>
    </row>
    <row r="309">
      <c r="E309" s="43"/>
    </row>
    <row r="310">
      <c r="E310" s="43"/>
    </row>
    <row r="311">
      <c r="E311" s="43"/>
    </row>
    <row r="312">
      <c r="E312" s="43"/>
    </row>
    <row r="313">
      <c r="E313" s="43"/>
    </row>
    <row r="314">
      <c r="E314" s="43"/>
    </row>
    <row r="315">
      <c r="E315" s="43"/>
    </row>
    <row r="316">
      <c r="E316" s="43"/>
    </row>
    <row r="317">
      <c r="E317" s="43"/>
    </row>
    <row r="318">
      <c r="E318" s="43"/>
    </row>
    <row r="319">
      <c r="E319" s="43"/>
    </row>
    <row r="320">
      <c r="E320" s="43"/>
    </row>
    <row r="321">
      <c r="E321" s="43"/>
    </row>
    <row r="322">
      <c r="E322" s="43"/>
    </row>
    <row r="323">
      <c r="E323" s="43"/>
    </row>
    <row r="324">
      <c r="E324" s="43"/>
    </row>
    <row r="325">
      <c r="E325" s="43"/>
    </row>
    <row r="326">
      <c r="E326" s="43"/>
    </row>
    <row r="327">
      <c r="E327" s="43"/>
    </row>
    <row r="328">
      <c r="E328" s="43"/>
    </row>
    <row r="329">
      <c r="E329" s="43"/>
    </row>
    <row r="330">
      <c r="E330" s="43"/>
    </row>
    <row r="331">
      <c r="E331" s="43"/>
    </row>
    <row r="332">
      <c r="E332" s="43"/>
    </row>
    <row r="333">
      <c r="E333" s="43"/>
    </row>
    <row r="334">
      <c r="E334" s="43"/>
    </row>
    <row r="335">
      <c r="E335" s="43"/>
    </row>
    <row r="336">
      <c r="E336" s="43"/>
    </row>
    <row r="337">
      <c r="E337" s="43"/>
    </row>
    <row r="338">
      <c r="E338" s="43"/>
    </row>
    <row r="339">
      <c r="E339" s="43"/>
    </row>
    <row r="340">
      <c r="E340" s="43"/>
    </row>
    <row r="341">
      <c r="E341" s="43"/>
    </row>
    <row r="342">
      <c r="E342" s="43"/>
    </row>
    <row r="343">
      <c r="E343" s="43"/>
    </row>
    <row r="344">
      <c r="E344" s="43"/>
    </row>
    <row r="345">
      <c r="E345" s="43"/>
    </row>
    <row r="346">
      <c r="E346" s="43"/>
    </row>
    <row r="347">
      <c r="E347" s="43"/>
    </row>
    <row r="348">
      <c r="E348" s="43"/>
    </row>
    <row r="349">
      <c r="E349" s="43"/>
    </row>
    <row r="350">
      <c r="E350" s="43"/>
    </row>
    <row r="351">
      <c r="E351" s="43"/>
    </row>
    <row r="352">
      <c r="E352" s="43"/>
    </row>
    <row r="353">
      <c r="E353" s="43"/>
    </row>
    <row r="354">
      <c r="E354" s="43"/>
    </row>
    <row r="355">
      <c r="E355" s="43"/>
    </row>
    <row r="356">
      <c r="E356" s="43"/>
    </row>
    <row r="357">
      <c r="E357" s="43"/>
    </row>
    <row r="358">
      <c r="E358" s="43"/>
    </row>
    <row r="359">
      <c r="E359" s="43"/>
    </row>
    <row r="360">
      <c r="E360" s="43"/>
    </row>
    <row r="361">
      <c r="E361" s="43"/>
    </row>
    <row r="362">
      <c r="E362" s="43"/>
    </row>
    <row r="363">
      <c r="E363" s="43"/>
    </row>
    <row r="364">
      <c r="E364" s="43"/>
    </row>
    <row r="365">
      <c r="E365" s="43"/>
    </row>
    <row r="366">
      <c r="E366" s="43"/>
    </row>
    <row r="367">
      <c r="E367" s="43"/>
    </row>
    <row r="368">
      <c r="E368" s="43"/>
    </row>
    <row r="369">
      <c r="E369" s="43"/>
    </row>
    <row r="370">
      <c r="E370" s="43"/>
    </row>
    <row r="371">
      <c r="E371" s="43"/>
    </row>
    <row r="372">
      <c r="E372" s="43"/>
    </row>
    <row r="373">
      <c r="E373" s="43"/>
    </row>
    <row r="374">
      <c r="E374" s="43"/>
    </row>
    <row r="375">
      <c r="E375" s="43"/>
    </row>
    <row r="376">
      <c r="E376" s="43"/>
    </row>
    <row r="377">
      <c r="E377" s="43"/>
    </row>
    <row r="378">
      <c r="E378" s="43"/>
    </row>
    <row r="379">
      <c r="E379" s="43"/>
    </row>
    <row r="380">
      <c r="E380" s="43"/>
    </row>
    <row r="381">
      <c r="E381" s="43"/>
    </row>
    <row r="382">
      <c r="E382" s="43"/>
    </row>
    <row r="383">
      <c r="E383" s="43"/>
    </row>
    <row r="384">
      <c r="E384" s="43"/>
    </row>
    <row r="385">
      <c r="E385" s="43"/>
    </row>
    <row r="386">
      <c r="E386" s="43"/>
    </row>
    <row r="387">
      <c r="E387" s="43"/>
    </row>
    <row r="388">
      <c r="E388" s="43"/>
    </row>
    <row r="389">
      <c r="E389" s="43"/>
    </row>
    <row r="390">
      <c r="E390" s="43"/>
    </row>
    <row r="391">
      <c r="E391" s="43"/>
    </row>
    <row r="392">
      <c r="E392" s="43"/>
    </row>
    <row r="393">
      <c r="E393" s="43"/>
    </row>
    <row r="394">
      <c r="E394" s="43"/>
    </row>
    <row r="395">
      <c r="E395" s="43"/>
    </row>
    <row r="396">
      <c r="E396" s="43"/>
    </row>
    <row r="397">
      <c r="E397" s="43"/>
    </row>
    <row r="398">
      <c r="E398" s="43"/>
    </row>
    <row r="399">
      <c r="E399" s="43"/>
    </row>
    <row r="400">
      <c r="E400" s="43"/>
    </row>
    <row r="401">
      <c r="E401" s="43"/>
    </row>
    <row r="402">
      <c r="E402" s="43"/>
    </row>
    <row r="403">
      <c r="E403" s="43"/>
    </row>
    <row r="404">
      <c r="E404" s="43"/>
    </row>
    <row r="405">
      <c r="E405" s="43"/>
    </row>
    <row r="406">
      <c r="E406" s="43"/>
    </row>
    <row r="407">
      <c r="E407" s="43"/>
    </row>
    <row r="408">
      <c r="E408" s="43"/>
    </row>
    <row r="409">
      <c r="E409" s="43"/>
    </row>
    <row r="410">
      <c r="E410" s="43"/>
    </row>
    <row r="411">
      <c r="E411" s="43"/>
    </row>
    <row r="412">
      <c r="E412" s="43"/>
    </row>
    <row r="413">
      <c r="E413" s="43"/>
    </row>
    <row r="414">
      <c r="E414" s="43"/>
    </row>
    <row r="415">
      <c r="E415" s="43"/>
    </row>
    <row r="416">
      <c r="E416" s="43"/>
    </row>
    <row r="417">
      <c r="E417" s="43"/>
    </row>
    <row r="418">
      <c r="E418" s="43"/>
    </row>
    <row r="419">
      <c r="E419" s="43"/>
    </row>
    <row r="420">
      <c r="E420" s="43"/>
    </row>
    <row r="421">
      <c r="E421" s="43"/>
    </row>
    <row r="422">
      <c r="E422" s="43"/>
    </row>
    <row r="423">
      <c r="E423" s="43"/>
    </row>
    <row r="424">
      <c r="E424" s="43"/>
    </row>
    <row r="425">
      <c r="E425" s="43"/>
    </row>
    <row r="426">
      <c r="E426" s="43"/>
    </row>
    <row r="427">
      <c r="E427" s="43"/>
    </row>
    <row r="428">
      <c r="E428" s="43"/>
    </row>
    <row r="429">
      <c r="E429" s="43"/>
    </row>
    <row r="430">
      <c r="E430" s="43"/>
    </row>
    <row r="431">
      <c r="E431" s="43"/>
    </row>
    <row r="432">
      <c r="E432" s="43"/>
    </row>
    <row r="433">
      <c r="E433" s="43"/>
    </row>
    <row r="434">
      <c r="E434" s="43"/>
    </row>
    <row r="435">
      <c r="E435" s="43"/>
    </row>
    <row r="436">
      <c r="E436" s="43"/>
    </row>
    <row r="437">
      <c r="E437" s="43"/>
    </row>
    <row r="438">
      <c r="E438" s="43"/>
    </row>
    <row r="439">
      <c r="E439" s="43"/>
    </row>
    <row r="440">
      <c r="E440" s="43"/>
    </row>
    <row r="441">
      <c r="E441" s="43"/>
    </row>
    <row r="442">
      <c r="E442" s="43"/>
    </row>
    <row r="443">
      <c r="E443" s="43"/>
    </row>
    <row r="444">
      <c r="E444" s="43"/>
    </row>
    <row r="445">
      <c r="E445" s="43"/>
    </row>
    <row r="446">
      <c r="E446" s="43"/>
    </row>
    <row r="447">
      <c r="E447" s="43"/>
    </row>
    <row r="448">
      <c r="E448" s="43"/>
    </row>
    <row r="449">
      <c r="E449" s="43"/>
    </row>
    <row r="450">
      <c r="E450" s="43"/>
    </row>
    <row r="451">
      <c r="E451" s="43"/>
    </row>
    <row r="452">
      <c r="E452" s="43"/>
    </row>
    <row r="453">
      <c r="E453" s="43"/>
    </row>
    <row r="454">
      <c r="E454" s="43"/>
    </row>
    <row r="455">
      <c r="E455" s="43"/>
    </row>
    <row r="456">
      <c r="E456" s="43"/>
    </row>
    <row r="457">
      <c r="E457" s="43"/>
    </row>
    <row r="458">
      <c r="E458" s="43"/>
    </row>
    <row r="459">
      <c r="E459" s="43"/>
    </row>
    <row r="460">
      <c r="E460" s="43"/>
    </row>
    <row r="461">
      <c r="E461" s="43"/>
    </row>
    <row r="462">
      <c r="E462" s="43"/>
    </row>
    <row r="463">
      <c r="E463" s="43"/>
    </row>
    <row r="464">
      <c r="E464" s="43"/>
    </row>
    <row r="465">
      <c r="E465" s="43"/>
    </row>
    <row r="466">
      <c r="E466" s="43"/>
    </row>
    <row r="467">
      <c r="E467" s="43"/>
    </row>
    <row r="468">
      <c r="E468" s="43"/>
    </row>
    <row r="469">
      <c r="E469" s="43"/>
    </row>
    <row r="470">
      <c r="E470" s="43"/>
    </row>
    <row r="471">
      <c r="E471" s="43"/>
    </row>
    <row r="472">
      <c r="E472" s="43"/>
    </row>
    <row r="473">
      <c r="E473" s="43"/>
    </row>
    <row r="474">
      <c r="E474" s="43"/>
    </row>
    <row r="475">
      <c r="E475" s="43"/>
    </row>
    <row r="476">
      <c r="E476" s="43"/>
    </row>
    <row r="477">
      <c r="E477" s="43"/>
    </row>
    <row r="478">
      <c r="E478" s="43"/>
    </row>
    <row r="479">
      <c r="E479" s="43"/>
    </row>
    <row r="480">
      <c r="E480" s="43"/>
    </row>
    <row r="481">
      <c r="E481" s="43"/>
    </row>
    <row r="482">
      <c r="E482" s="43"/>
    </row>
    <row r="483">
      <c r="E483" s="43"/>
    </row>
    <row r="484">
      <c r="E484" s="43"/>
    </row>
    <row r="485">
      <c r="E485" s="43"/>
    </row>
    <row r="486">
      <c r="E486" s="43"/>
    </row>
    <row r="487">
      <c r="E487" s="43"/>
    </row>
    <row r="488">
      <c r="E488" s="43"/>
    </row>
    <row r="489">
      <c r="E489" s="43"/>
    </row>
    <row r="490">
      <c r="E490" s="43"/>
    </row>
    <row r="491">
      <c r="E491" s="43"/>
    </row>
    <row r="492">
      <c r="E492" s="43"/>
    </row>
    <row r="493">
      <c r="E493" s="43"/>
    </row>
    <row r="494">
      <c r="E494" s="43"/>
    </row>
    <row r="495">
      <c r="E495" s="43"/>
    </row>
    <row r="496">
      <c r="E496" s="43"/>
    </row>
    <row r="497">
      <c r="E497" s="43"/>
    </row>
    <row r="498">
      <c r="E498" s="43"/>
    </row>
    <row r="499">
      <c r="E499" s="43"/>
    </row>
    <row r="500">
      <c r="E500" s="43"/>
    </row>
    <row r="501">
      <c r="E501" s="43"/>
    </row>
    <row r="502">
      <c r="E502" s="43"/>
    </row>
    <row r="503">
      <c r="E503" s="43"/>
    </row>
    <row r="504">
      <c r="E504" s="43"/>
    </row>
    <row r="505">
      <c r="E505" s="43"/>
    </row>
    <row r="506">
      <c r="E506" s="43"/>
    </row>
    <row r="507">
      <c r="E507" s="43"/>
    </row>
    <row r="508">
      <c r="E508" s="43"/>
    </row>
    <row r="509">
      <c r="E509" s="43"/>
    </row>
    <row r="510">
      <c r="E510" s="43"/>
    </row>
    <row r="511">
      <c r="E511" s="43"/>
    </row>
    <row r="512">
      <c r="E512" s="43"/>
    </row>
    <row r="513">
      <c r="E513" s="43"/>
    </row>
    <row r="514">
      <c r="E514" s="43"/>
    </row>
    <row r="515">
      <c r="E515" s="43"/>
    </row>
    <row r="516">
      <c r="E516" s="43"/>
    </row>
    <row r="517">
      <c r="E517" s="43"/>
    </row>
    <row r="518">
      <c r="E518" s="43"/>
    </row>
    <row r="519">
      <c r="E519" s="43"/>
    </row>
    <row r="520">
      <c r="E520" s="43"/>
    </row>
    <row r="521">
      <c r="E521" s="43"/>
    </row>
    <row r="522">
      <c r="E522" s="43"/>
    </row>
    <row r="523">
      <c r="E523" s="43"/>
    </row>
    <row r="524">
      <c r="E524" s="43"/>
    </row>
    <row r="525">
      <c r="E525" s="43"/>
    </row>
    <row r="526">
      <c r="E526" s="43"/>
    </row>
    <row r="527">
      <c r="E527" s="43"/>
    </row>
    <row r="528">
      <c r="E528" s="43"/>
    </row>
    <row r="529">
      <c r="E529" s="43"/>
    </row>
    <row r="530">
      <c r="E530" s="43"/>
    </row>
    <row r="531">
      <c r="E531" s="43"/>
    </row>
    <row r="532">
      <c r="E532" s="43"/>
    </row>
    <row r="533">
      <c r="E533" s="43"/>
    </row>
    <row r="534">
      <c r="E534" s="43"/>
    </row>
    <row r="535">
      <c r="E535" s="43"/>
    </row>
    <row r="536">
      <c r="E536" s="43"/>
    </row>
    <row r="537">
      <c r="E537" s="43"/>
    </row>
    <row r="538">
      <c r="E538" s="43"/>
    </row>
    <row r="539">
      <c r="E539" s="43"/>
    </row>
    <row r="540">
      <c r="E540" s="43"/>
    </row>
    <row r="541">
      <c r="E541" s="43"/>
    </row>
    <row r="542">
      <c r="E542" s="43"/>
    </row>
    <row r="543">
      <c r="E543" s="43"/>
    </row>
    <row r="544">
      <c r="E544" s="43"/>
    </row>
    <row r="545">
      <c r="E545" s="43"/>
    </row>
    <row r="546">
      <c r="E546" s="43"/>
    </row>
    <row r="547">
      <c r="E547" s="43"/>
    </row>
    <row r="548">
      <c r="E548" s="43"/>
    </row>
    <row r="549">
      <c r="E549" s="43"/>
    </row>
    <row r="550">
      <c r="E550" s="43"/>
    </row>
    <row r="551">
      <c r="E551" s="43"/>
    </row>
    <row r="552">
      <c r="E552" s="43"/>
    </row>
    <row r="553">
      <c r="E553" s="43"/>
    </row>
    <row r="554">
      <c r="E554" s="43"/>
    </row>
    <row r="555">
      <c r="E555" s="43"/>
    </row>
    <row r="556">
      <c r="E556" s="43"/>
    </row>
    <row r="557">
      <c r="E557" s="43"/>
    </row>
    <row r="558">
      <c r="E558" s="43"/>
    </row>
    <row r="559">
      <c r="E559" s="43"/>
    </row>
    <row r="560">
      <c r="E560" s="43"/>
    </row>
    <row r="561">
      <c r="E561" s="43"/>
    </row>
    <row r="562">
      <c r="E562" s="43"/>
    </row>
    <row r="563">
      <c r="E563" s="43"/>
    </row>
    <row r="564">
      <c r="E564" s="43"/>
    </row>
    <row r="565">
      <c r="E565" s="43"/>
    </row>
    <row r="566">
      <c r="E566" s="43"/>
    </row>
    <row r="567">
      <c r="E567" s="43"/>
    </row>
    <row r="568">
      <c r="E568" s="43"/>
    </row>
    <row r="569">
      <c r="E569" s="43"/>
    </row>
    <row r="570">
      <c r="E570" s="43"/>
    </row>
    <row r="571">
      <c r="E571" s="43"/>
    </row>
    <row r="572">
      <c r="E572" s="43"/>
    </row>
    <row r="573">
      <c r="E573" s="43"/>
    </row>
    <row r="574">
      <c r="E574" s="43"/>
    </row>
    <row r="575">
      <c r="E575" s="43"/>
    </row>
    <row r="576">
      <c r="E576" s="43"/>
    </row>
    <row r="577">
      <c r="E577" s="43"/>
    </row>
    <row r="578">
      <c r="E578" s="43"/>
    </row>
    <row r="579">
      <c r="E579" s="43"/>
    </row>
    <row r="580">
      <c r="E580" s="43"/>
    </row>
    <row r="581">
      <c r="E581" s="43"/>
    </row>
    <row r="582">
      <c r="E582" s="43"/>
    </row>
    <row r="583">
      <c r="E583" s="43"/>
    </row>
    <row r="584">
      <c r="E584" s="43"/>
    </row>
    <row r="585">
      <c r="E585" s="43"/>
    </row>
    <row r="586">
      <c r="E586" s="43"/>
    </row>
    <row r="587">
      <c r="E587" s="43"/>
    </row>
    <row r="588">
      <c r="E588" s="43"/>
    </row>
    <row r="589">
      <c r="E589" s="43"/>
    </row>
    <row r="590">
      <c r="E590" s="43"/>
    </row>
    <row r="591">
      <c r="E591" s="43"/>
    </row>
    <row r="592">
      <c r="E592" s="43"/>
    </row>
    <row r="593">
      <c r="E593" s="43"/>
    </row>
    <row r="594">
      <c r="E594" s="43"/>
    </row>
    <row r="595">
      <c r="E595" s="43"/>
    </row>
    <row r="596">
      <c r="E596" s="43"/>
    </row>
    <row r="597">
      <c r="E597" s="43"/>
    </row>
    <row r="598">
      <c r="E598" s="43"/>
    </row>
    <row r="599">
      <c r="E599" s="43"/>
    </row>
    <row r="600">
      <c r="E600" s="43"/>
    </row>
    <row r="601">
      <c r="E601" s="43"/>
    </row>
    <row r="602">
      <c r="E602" s="43"/>
    </row>
    <row r="603">
      <c r="E603" s="43"/>
    </row>
    <row r="604">
      <c r="E604" s="43"/>
    </row>
    <row r="605">
      <c r="E605" s="43"/>
    </row>
    <row r="606">
      <c r="E606" s="43"/>
    </row>
    <row r="607">
      <c r="E607" s="43"/>
    </row>
    <row r="608">
      <c r="E608" s="43"/>
    </row>
    <row r="609">
      <c r="E609" s="43"/>
    </row>
    <row r="610">
      <c r="E610" s="43"/>
    </row>
    <row r="611">
      <c r="E611" s="43"/>
    </row>
    <row r="612">
      <c r="E612" s="43"/>
    </row>
    <row r="613">
      <c r="E613" s="43"/>
    </row>
    <row r="614">
      <c r="E614" s="43"/>
    </row>
    <row r="615">
      <c r="E615" s="43"/>
    </row>
    <row r="616">
      <c r="E616" s="43"/>
    </row>
    <row r="617">
      <c r="E617" s="43"/>
    </row>
    <row r="618">
      <c r="E618" s="43"/>
    </row>
    <row r="619">
      <c r="E619" s="43"/>
    </row>
    <row r="620">
      <c r="E620" s="43"/>
    </row>
    <row r="621">
      <c r="E621" s="43"/>
    </row>
    <row r="622">
      <c r="E622" s="43"/>
    </row>
    <row r="623">
      <c r="E623" s="43"/>
    </row>
    <row r="624">
      <c r="E624" s="43"/>
    </row>
    <row r="625">
      <c r="E625" s="43"/>
    </row>
    <row r="626">
      <c r="E626" s="43"/>
    </row>
    <row r="627">
      <c r="E627" s="43"/>
    </row>
    <row r="628">
      <c r="E628" s="43"/>
    </row>
    <row r="629">
      <c r="E629" s="43"/>
    </row>
    <row r="630">
      <c r="E630" s="43"/>
    </row>
    <row r="631">
      <c r="E631" s="43"/>
    </row>
    <row r="632">
      <c r="E632" s="43"/>
    </row>
    <row r="633">
      <c r="E633" s="43"/>
    </row>
    <row r="634">
      <c r="E634" s="43"/>
    </row>
    <row r="635">
      <c r="E635" s="43"/>
    </row>
    <row r="636">
      <c r="E636" s="43"/>
    </row>
    <row r="637">
      <c r="E637" s="43"/>
    </row>
    <row r="638">
      <c r="E638" s="43"/>
    </row>
    <row r="639">
      <c r="E639" s="43"/>
    </row>
    <row r="640">
      <c r="E640" s="43"/>
    </row>
    <row r="641">
      <c r="E641" s="43"/>
    </row>
    <row r="642">
      <c r="E642" s="43"/>
    </row>
    <row r="643">
      <c r="E643" s="43"/>
    </row>
    <row r="644">
      <c r="E644" s="43"/>
    </row>
    <row r="645">
      <c r="E645" s="43"/>
    </row>
    <row r="646">
      <c r="E646" s="43"/>
    </row>
    <row r="647">
      <c r="E647" s="43"/>
    </row>
    <row r="648">
      <c r="E648" s="43"/>
    </row>
    <row r="649">
      <c r="E649" s="43"/>
    </row>
    <row r="650">
      <c r="E650" s="43"/>
    </row>
    <row r="651">
      <c r="E651" s="43"/>
    </row>
    <row r="652">
      <c r="E652" s="43"/>
    </row>
    <row r="653">
      <c r="E653" s="43"/>
    </row>
    <row r="654">
      <c r="E654" s="43"/>
    </row>
    <row r="655">
      <c r="E655" s="43"/>
    </row>
    <row r="656">
      <c r="E656" s="43"/>
    </row>
    <row r="657">
      <c r="E657" s="43"/>
    </row>
    <row r="658">
      <c r="E658" s="43"/>
    </row>
    <row r="659">
      <c r="E659" s="43"/>
    </row>
    <row r="660">
      <c r="E660" s="43"/>
    </row>
    <row r="661">
      <c r="E661" s="43"/>
    </row>
    <row r="662">
      <c r="E662" s="43"/>
    </row>
    <row r="663">
      <c r="E663" s="43"/>
    </row>
    <row r="664">
      <c r="E664" s="43"/>
    </row>
    <row r="665">
      <c r="E665" s="43"/>
    </row>
    <row r="666">
      <c r="E666" s="43"/>
    </row>
    <row r="667">
      <c r="E667" s="43"/>
    </row>
    <row r="668">
      <c r="E668" s="43"/>
    </row>
    <row r="669">
      <c r="E669" s="43"/>
    </row>
    <row r="670">
      <c r="E670" s="43"/>
    </row>
    <row r="671">
      <c r="E671" s="43"/>
    </row>
    <row r="672">
      <c r="E672" s="43"/>
    </row>
    <row r="673">
      <c r="E673" s="43"/>
    </row>
    <row r="674">
      <c r="E674" s="43"/>
    </row>
    <row r="675">
      <c r="E675" s="43"/>
    </row>
    <row r="676">
      <c r="E676" s="43"/>
    </row>
    <row r="677">
      <c r="E677" s="43"/>
    </row>
    <row r="678">
      <c r="E678" s="43"/>
    </row>
    <row r="679">
      <c r="E679" s="43"/>
    </row>
    <row r="680">
      <c r="E680" s="43"/>
    </row>
    <row r="681">
      <c r="E681" s="43"/>
    </row>
    <row r="682">
      <c r="E682" s="43"/>
    </row>
    <row r="683">
      <c r="E683" s="43"/>
    </row>
    <row r="684">
      <c r="E684" s="43"/>
    </row>
    <row r="685">
      <c r="E685" s="43"/>
    </row>
    <row r="686">
      <c r="E686" s="43"/>
    </row>
    <row r="687">
      <c r="E687" s="43"/>
    </row>
    <row r="688">
      <c r="E688" s="43"/>
    </row>
    <row r="689">
      <c r="E689" s="43"/>
    </row>
    <row r="690">
      <c r="E690" s="43"/>
    </row>
    <row r="691">
      <c r="E691" s="43"/>
    </row>
    <row r="692">
      <c r="E692" s="43"/>
    </row>
    <row r="693">
      <c r="E693" s="43"/>
    </row>
    <row r="694">
      <c r="E694" s="43"/>
    </row>
    <row r="695">
      <c r="E695" s="43"/>
    </row>
    <row r="696">
      <c r="E696" s="43"/>
    </row>
    <row r="697">
      <c r="E697" s="43"/>
    </row>
    <row r="698">
      <c r="E698" s="43"/>
    </row>
    <row r="699">
      <c r="E699" s="43"/>
    </row>
    <row r="700">
      <c r="E700" s="43"/>
    </row>
    <row r="701">
      <c r="E701" s="43"/>
    </row>
    <row r="702">
      <c r="E702" s="43"/>
    </row>
    <row r="703">
      <c r="E703" s="43"/>
    </row>
    <row r="704">
      <c r="E704" s="43"/>
    </row>
    <row r="705">
      <c r="E705" s="43"/>
    </row>
    <row r="706">
      <c r="E706" s="43"/>
    </row>
    <row r="707">
      <c r="E707" s="43"/>
    </row>
    <row r="708">
      <c r="E708" s="43"/>
    </row>
    <row r="709">
      <c r="E709" s="43"/>
    </row>
    <row r="710">
      <c r="E710" s="43"/>
    </row>
    <row r="711">
      <c r="E711" s="43"/>
    </row>
    <row r="712">
      <c r="E712" s="43"/>
    </row>
    <row r="713">
      <c r="E713" s="43"/>
    </row>
    <row r="714">
      <c r="E714" s="43"/>
    </row>
    <row r="715">
      <c r="E715" s="43"/>
    </row>
    <row r="716">
      <c r="E716" s="43"/>
    </row>
    <row r="717">
      <c r="E717" s="43"/>
    </row>
    <row r="718">
      <c r="E718" s="43"/>
    </row>
    <row r="719">
      <c r="E719" s="43"/>
    </row>
    <row r="720">
      <c r="E720" s="43"/>
    </row>
    <row r="721">
      <c r="E721" s="43"/>
    </row>
    <row r="722">
      <c r="E722" s="43"/>
    </row>
    <row r="723">
      <c r="E723" s="43"/>
    </row>
    <row r="724">
      <c r="E724" s="43"/>
    </row>
    <row r="725">
      <c r="E725" s="43"/>
    </row>
    <row r="726">
      <c r="E726" s="43"/>
    </row>
    <row r="727">
      <c r="E727" s="43"/>
    </row>
    <row r="728">
      <c r="E728" s="43"/>
    </row>
    <row r="729">
      <c r="E729" s="43"/>
    </row>
    <row r="730">
      <c r="E730" s="43"/>
    </row>
    <row r="731">
      <c r="E731" s="43"/>
    </row>
    <row r="732">
      <c r="E732" s="43"/>
    </row>
    <row r="733">
      <c r="E733" s="43"/>
    </row>
    <row r="734">
      <c r="E734" s="43"/>
    </row>
    <row r="735">
      <c r="E735" s="43"/>
    </row>
    <row r="736">
      <c r="E736" s="43"/>
    </row>
    <row r="737">
      <c r="E737" s="43"/>
    </row>
    <row r="738">
      <c r="E738" s="43"/>
    </row>
    <row r="739">
      <c r="E739" s="43"/>
    </row>
    <row r="740">
      <c r="E740" s="43"/>
    </row>
    <row r="741">
      <c r="E741" s="43"/>
    </row>
    <row r="742">
      <c r="E742" s="43"/>
    </row>
    <row r="743">
      <c r="E743" s="43"/>
    </row>
    <row r="744">
      <c r="E744" s="43"/>
    </row>
    <row r="745">
      <c r="E745" s="43"/>
    </row>
    <row r="746">
      <c r="E746" s="43"/>
    </row>
    <row r="747">
      <c r="E747" s="43"/>
    </row>
    <row r="748">
      <c r="E748" s="43"/>
    </row>
    <row r="749">
      <c r="E749" s="43"/>
    </row>
    <row r="750">
      <c r="E750" s="43"/>
    </row>
    <row r="751">
      <c r="E751" s="43"/>
    </row>
    <row r="752">
      <c r="E752" s="43"/>
    </row>
    <row r="753">
      <c r="E753" s="43"/>
    </row>
    <row r="754">
      <c r="E754" s="43"/>
    </row>
    <row r="755">
      <c r="E755" s="43"/>
    </row>
    <row r="756">
      <c r="E756" s="43"/>
    </row>
    <row r="757">
      <c r="E757" s="43"/>
    </row>
    <row r="758">
      <c r="E758" s="43"/>
    </row>
    <row r="759">
      <c r="E759" s="43"/>
    </row>
    <row r="760">
      <c r="E760" s="43"/>
    </row>
    <row r="761">
      <c r="E761" s="43"/>
    </row>
    <row r="762">
      <c r="E762" s="43"/>
    </row>
    <row r="763">
      <c r="E763" s="43"/>
    </row>
    <row r="764">
      <c r="E764" s="43"/>
    </row>
    <row r="765">
      <c r="E765" s="43"/>
    </row>
    <row r="766">
      <c r="E766" s="43"/>
    </row>
    <row r="767">
      <c r="E767" s="43"/>
    </row>
    <row r="768">
      <c r="E768" s="43"/>
    </row>
    <row r="769">
      <c r="E769" s="43"/>
    </row>
    <row r="770">
      <c r="E770" s="43"/>
    </row>
    <row r="771">
      <c r="E771" s="43"/>
    </row>
    <row r="772">
      <c r="E772" s="43"/>
    </row>
    <row r="773">
      <c r="E773" s="43"/>
    </row>
    <row r="774">
      <c r="E774" s="43"/>
    </row>
    <row r="775">
      <c r="E775" s="43"/>
    </row>
    <row r="776">
      <c r="E776" s="43"/>
    </row>
    <row r="777">
      <c r="E777" s="43"/>
    </row>
    <row r="778">
      <c r="E778" s="43"/>
    </row>
    <row r="779">
      <c r="E779" s="43"/>
    </row>
    <row r="780">
      <c r="E780" s="43"/>
    </row>
    <row r="781">
      <c r="E781" s="43"/>
    </row>
    <row r="782">
      <c r="E782" s="43"/>
    </row>
    <row r="783">
      <c r="E783" s="43"/>
    </row>
    <row r="784">
      <c r="E784" s="43"/>
    </row>
    <row r="785">
      <c r="E785" s="43"/>
    </row>
    <row r="786">
      <c r="E786" s="43"/>
    </row>
    <row r="787">
      <c r="E787" s="43"/>
    </row>
    <row r="788">
      <c r="E788" s="43"/>
    </row>
    <row r="789">
      <c r="E789" s="43"/>
    </row>
    <row r="790">
      <c r="E790" s="43"/>
    </row>
    <row r="791">
      <c r="E791" s="43"/>
    </row>
    <row r="792">
      <c r="E792" s="43"/>
    </row>
    <row r="793">
      <c r="E793" s="43"/>
    </row>
    <row r="794">
      <c r="E794" s="43"/>
    </row>
    <row r="795">
      <c r="E795" s="43"/>
    </row>
    <row r="796">
      <c r="E796" s="43"/>
    </row>
    <row r="797">
      <c r="E797" s="43"/>
    </row>
    <row r="798">
      <c r="E798" s="43"/>
    </row>
    <row r="799">
      <c r="E799" s="43"/>
    </row>
    <row r="800">
      <c r="E800" s="43"/>
    </row>
    <row r="801">
      <c r="E801" s="43"/>
    </row>
    <row r="802">
      <c r="E802" s="43"/>
    </row>
    <row r="803">
      <c r="E803" s="43"/>
    </row>
    <row r="804">
      <c r="E804" s="43"/>
    </row>
    <row r="805">
      <c r="E805" s="43"/>
    </row>
    <row r="806">
      <c r="E806" s="43"/>
    </row>
    <row r="807">
      <c r="E807" s="43"/>
    </row>
    <row r="808">
      <c r="E808" s="43"/>
    </row>
    <row r="809">
      <c r="E809" s="43"/>
    </row>
    <row r="810">
      <c r="E810" s="43"/>
    </row>
    <row r="811">
      <c r="E811" s="43"/>
    </row>
    <row r="812">
      <c r="E812" s="43"/>
    </row>
    <row r="813">
      <c r="E813" s="43"/>
    </row>
    <row r="814">
      <c r="E814" s="43"/>
    </row>
    <row r="815">
      <c r="E815" s="43"/>
    </row>
    <row r="816">
      <c r="E816" s="43"/>
    </row>
    <row r="817">
      <c r="E817" s="43"/>
    </row>
    <row r="818">
      <c r="E818" s="43"/>
    </row>
    <row r="819">
      <c r="E819" s="43"/>
    </row>
    <row r="820">
      <c r="E820" s="43"/>
    </row>
    <row r="821">
      <c r="E821" s="43"/>
    </row>
    <row r="822">
      <c r="E822" s="43"/>
    </row>
    <row r="823">
      <c r="E823" s="43"/>
    </row>
    <row r="824">
      <c r="E824" s="43"/>
    </row>
    <row r="825">
      <c r="E825" s="43"/>
    </row>
    <row r="826">
      <c r="E826" s="43"/>
    </row>
    <row r="827">
      <c r="E827" s="43"/>
    </row>
    <row r="828">
      <c r="E828" s="43"/>
    </row>
    <row r="829">
      <c r="E829" s="43"/>
    </row>
    <row r="830">
      <c r="E830" s="43"/>
    </row>
    <row r="831">
      <c r="E831" s="43"/>
    </row>
    <row r="832">
      <c r="E832" s="43"/>
    </row>
    <row r="833">
      <c r="E833" s="43"/>
    </row>
    <row r="834">
      <c r="E834" s="43"/>
    </row>
    <row r="835">
      <c r="E835" s="43"/>
    </row>
    <row r="836">
      <c r="E836" s="43"/>
    </row>
    <row r="837">
      <c r="E837" s="43"/>
    </row>
    <row r="838">
      <c r="E838" s="43"/>
    </row>
    <row r="839">
      <c r="E839" s="43"/>
    </row>
    <row r="840">
      <c r="E840" s="43"/>
    </row>
    <row r="841">
      <c r="E841" s="43"/>
    </row>
    <row r="842">
      <c r="E842" s="43"/>
    </row>
    <row r="843">
      <c r="E843" s="43"/>
    </row>
    <row r="844">
      <c r="E844" s="43"/>
    </row>
    <row r="845">
      <c r="E845" s="43"/>
    </row>
    <row r="846">
      <c r="E846" s="43"/>
    </row>
    <row r="847">
      <c r="E847" s="43"/>
    </row>
    <row r="848">
      <c r="E848" s="43"/>
    </row>
    <row r="849">
      <c r="E849" s="43"/>
    </row>
    <row r="850">
      <c r="E850" s="43"/>
    </row>
    <row r="851">
      <c r="E851" s="43"/>
    </row>
    <row r="852">
      <c r="E852" s="43"/>
    </row>
    <row r="853">
      <c r="E853" s="43"/>
    </row>
    <row r="854">
      <c r="E854" s="43"/>
    </row>
    <row r="855">
      <c r="E855" s="43"/>
    </row>
    <row r="856">
      <c r="E856" s="43"/>
    </row>
    <row r="857">
      <c r="E857" s="43"/>
    </row>
    <row r="858">
      <c r="E858" s="43"/>
    </row>
    <row r="859">
      <c r="E859" s="43"/>
    </row>
    <row r="860">
      <c r="E860" s="43"/>
    </row>
    <row r="861">
      <c r="E861" s="43"/>
    </row>
    <row r="862">
      <c r="E862" s="43"/>
    </row>
    <row r="863">
      <c r="E863" s="43"/>
    </row>
    <row r="864">
      <c r="E864" s="43"/>
    </row>
    <row r="865">
      <c r="E865" s="43"/>
    </row>
    <row r="866">
      <c r="E866" s="43"/>
    </row>
    <row r="867">
      <c r="E867" s="43"/>
    </row>
    <row r="868">
      <c r="E868" s="43"/>
    </row>
    <row r="869">
      <c r="E869" s="43"/>
    </row>
    <row r="870">
      <c r="E870" s="43"/>
    </row>
    <row r="871">
      <c r="E871" s="43"/>
    </row>
    <row r="872">
      <c r="E872" s="43"/>
    </row>
    <row r="873">
      <c r="E873" s="43"/>
    </row>
    <row r="874">
      <c r="E874" s="43"/>
    </row>
    <row r="875">
      <c r="E875" s="43"/>
    </row>
    <row r="876">
      <c r="E876" s="43"/>
    </row>
    <row r="877">
      <c r="E877" s="43"/>
    </row>
    <row r="878">
      <c r="E878" s="43"/>
    </row>
    <row r="879">
      <c r="E879" s="43"/>
    </row>
    <row r="880">
      <c r="E880" s="43"/>
    </row>
    <row r="881">
      <c r="E881" s="43"/>
    </row>
    <row r="882">
      <c r="E882" s="43"/>
    </row>
    <row r="883">
      <c r="E883" s="43"/>
    </row>
    <row r="884">
      <c r="E884" s="43"/>
    </row>
    <row r="885">
      <c r="E885" s="43"/>
    </row>
    <row r="886">
      <c r="E886" s="43"/>
    </row>
    <row r="887">
      <c r="E887" s="43"/>
    </row>
    <row r="888">
      <c r="E888" s="43"/>
    </row>
    <row r="889">
      <c r="E889" s="43"/>
    </row>
    <row r="890">
      <c r="E890" s="43"/>
    </row>
    <row r="891">
      <c r="E891" s="43"/>
    </row>
    <row r="892">
      <c r="E892" s="43"/>
    </row>
    <row r="893">
      <c r="E893" s="43"/>
    </row>
    <row r="894">
      <c r="E894" s="43"/>
    </row>
    <row r="895">
      <c r="E895" s="43"/>
    </row>
    <row r="896">
      <c r="E896" s="43"/>
    </row>
    <row r="897">
      <c r="E897" s="43"/>
    </row>
    <row r="898">
      <c r="E898" s="43"/>
    </row>
    <row r="899">
      <c r="E899" s="43"/>
    </row>
    <row r="900">
      <c r="E900" s="43"/>
    </row>
    <row r="901">
      <c r="E901" s="43"/>
    </row>
    <row r="902">
      <c r="E902" s="43"/>
    </row>
    <row r="903">
      <c r="E903" s="43"/>
    </row>
    <row r="904">
      <c r="E904" s="43"/>
    </row>
    <row r="905">
      <c r="E905" s="43"/>
    </row>
    <row r="906">
      <c r="E906" s="43"/>
    </row>
    <row r="907">
      <c r="E907" s="43"/>
    </row>
    <row r="908">
      <c r="E908" s="43"/>
    </row>
    <row r="909">
      <c r="E909" s="43"/>
    </row>
    <row r="910">
      <c r="E910" s="43"/>
    </row>
    <row r="911">
      <c r="E911" s="43"/>
    </row>
    <row r="912">
      <c r="E912" s="43"/>
    </row>
    <row r="913">
      <c r="E913" s="43"/>
    </row>
    <row r="914">
      <c r="E914" s="43"/>
    </row>
    <row r="915">
      <c r="E915" s="43"/>
    </row>
    <row r="916">
      <c r="E916" s="43"/>
    </row>
    <row r="917">
      <c r="E917" s="43"/>
    </row>
    <row r="918">
      <c r="E918" s="43"/>
    </row>
    <row r="919">
      <c r="E919" s="43"/>
    </row>
    <row r="920">
      <c r="E920" s="43"/>
    </row>
    <row r="921">
      <c r="E921" s="43"/>
    </row>
    <row r="922">
      <c r="E922" s="43"/>
    </row>
    <row r="923">
      <c r="E923" s="43"/>
    </row>
    <row r="924">
      <c r="E924" s="43"/>
    </row>
    <row r="925">
      <c r="E925" s="43"/>
    </row>
    <row r="926">
      <c r="E926" s="43"/>
    </row>
    <row r="927">
      <c r="E927" s="43"/>
    </row>
    <row r="928">
      <c r="E928" s="43"/>
    </row>
    <row r="929">
      <c r="E929" s="43"/>
    </row>
    <row r="930">
      <c r="E930" s="43"/>
    </row>
    <row r="931">
      <c r="E931" s="43"/>
    </row>
    <row r="932">
      <c r="E932" s="43"/>
    </row>
    <row r="933">
      <c r="E933" s="43"/>
    </row>
    <row r="934">
      <c r="E934" s="43"/>
    </row>
    <row r="935">
      <c r="E935" s="43"/>
    </row>
    <row r="936">
      <c r="E936" s="43"/>
    </row>
    <row r="937">
      <c r="E937" s="43"/>
    </row>
    <row r="938">
      <c r="E938" s="43"/>
    </row>
    <row r="939">
      <c r="E939" s="43"/>
    </row>
    <row r="940">
      <c r="E940" s="43"/>
    </row>
    <row r="941">
      <c r="E941" s="43"/>
    </row>
    <row r="942">
      <c r="E942" s="43"/>
    </row>
    <row r="943">
      <c r="E943" s="43"/>
    </row>
    <row r="944">
      <c r="E944" s="43"/>
    </row>
    <row r="945">
      <c r="E945" s="43"/>
    </row>
    <row r="946">
      <c r="E946" s="43"/>
    </row>
    <row r="947">
      <c r="E947" s="43"/>
    </row>
    <row r="948">
      <c r="E948" s="43"/>
    </row>
    <row r="949">
      <c r="E949" s="43"/>
    </row>
    <row r="950">
      <c r="E950" s="43"/>
    </row>
    <row r="951">
      <c r="E951" s="43"/>
    </row>
    <row r="952">
      <c r="E952" s="43"/>
    </row>
    <row r="953">
      <c r="E953" s="43"/>
    </row>
    <row r="954">
      <c r="E954" s="43"/>
    </row>
    <row r="955">
      <c r="E955" s="43"/>
    </row>
    <row r="956">
      <c r="E956" s="43"/>
    </row>
    <row r="957">
      <c r="E957" s="43"/>
    </row>
    <row r="958">
      <c r="E958" s="43"/>
    </row>
    <row r="959">
      <c r="E959" s="43"/>
    </row>
    <row r="960">
      <c r="E960" s="43"/>
    </row>
    <row r="961">
      <c r="E961" s="43"/>
    </row>
    <row r="962">
      <c r="E962" s="43"/>
    </row>
    <row r="963">
      <c r="E963" s="43"/>
    </row>
    <row r="964">
      <c r="E964" s="43"/>
    </row>
    <row r="965">
      <c r="E965" s="43"/>
    </row>
    <row r="966">
      <c r="E966" s="43"/>
    </row>
    <row r="967">
      <c r="E967" s="43"/>
    </row>
    <row r="968">
      <c r="E968" s="43"/>
    </row>
    <row r="969">
      <c r="E969" s="43"/>
    </row>
    <row r="970">
      <c r="E970" s="43"/>
    </row>
    <row r="971">
      <c r="E971" s="43"/>
    </row>
    <row r="972">
      <c r="E972" s="43"/>
    </row>
    <row r="973">
      <c r="E973" s="43"/>
    </row>
    <row r="974">
      <c r="E974" s="43"/>
    </row>
    <row r="975">
      <c r="E975" s="43"/>
    </row>
    <row r="976">
      <c r="E976" s="43"/>
    </row>
    <row r="977">
      <c r="E977" s="43"/>
    </row>
    <row r="978">
      <c r="E978" s="43"/>
    </row>
    <row r="979">
      <c r="E979" s="43"/>
    </row>
    <row r="980">
      <c r="E980" s="43"/>
    </row>
    <row r="981">
      <c r="E981" s="43"/>
    </row>
    <row r="982">
      <c r="E982" s="43"/>
    </row>
    <row r="983">
      <c r="E983" s="43"/>
    </row>
    <row r="984">
      <c r="E984" s="43"/>
    </row>
    <row r="985">
      <c r="E985" s="43"/>
    </row>
    <row r="986">
      <c r="E986" s="43"/>
    </row>
    <row r="987">
      <c r="E987" s="43"/>
    </row>
    <row r="988">
      <c r="E988" s="43"/>
    </row>
    <row r="989">
      <c r="E989" s="43"/>
    </row>
    <row r="990">
      <c r="E990" s="43"/>
    </row>
    <row r="991">
      <c r="E991" s="4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38"/>
  </cols>
  <sheetData>
    <row r="1">
      <c r="A1" s="1" t="s">
        <v>1390</v>
      </c>
      <c r="B1" s="1" t="s">
        <v>7</v>
      </c>
      <c r="C1" s="1" t="s">
        <v>1394</v>
      </c>
      <c r="D1" s="1" t="s">
        <v>1396</v>
      </c>
      <c r="E1" s="1" t="s">
        <v>1398</v>
      </c>
      <c r="F1" s="1" t="s">
        <v>1399</v>
      </c>
      <c r="G1" s="1" t="s">
        <v>1400</v>
      </c>
      <c r="H1" s="1" t="s">
        <v>1401</v>
      </c>
      <c r="I1" s="36" t="s">
        <v>1402</v>
      </c>
      <c r="J1" s="1" t="s">
        <v>1407</v>
      </c>
      <c r="K1" s="36" t="s">
        <v>1408</v>
      </c>
    </row>
    <row r="2">
      <c r="A2" s="42" t="s">
        <v>1411</v>
      </c>
      <c r="B2" s="1">
        <v>2023.0</v>
      </c>
      <c r="C2" s="1" t="s">
        <v>1412</v>
      </c>
      <c r="D2" s="1" t="s">
        <v>1414</v>
      </c>
      <c r="E2" s="1">
        <v>6.0</v>
      </c>
      <c r="F2" s="1">
        <v>100.0</v>
      </c>
      <c r="G2" s="1">
        <v>100.0</v>
      </c>
      <c r="H2" s="1" t="s">
        <v>1416</v>
      </c>
      <c r="I2" s="1">
        <v>100.0</v>
      </c>
      <c r="J2" s="1">
        <v>1.0</v>
      </c>
      <c r="K2" s="36" t="s">
        <v>1416</v>
      </c>
    </row>
    <row r="3">
      <c r="A3" s="1" t="s">
        <v>1426</v>
      </c>
      <c r="B3" s="1">
        <v>2022.0</v>
      </c>
      <c r="C3" s="1" t="s">
        <v>1428</v>
      </c>
      <c r="D3" s="1" t="s">
        <v>1430</v>
      </c>
      <c r="E3" s="1" t="s">
        <v>1416</v>
      </c>
      <c r="F3" s="44">
        <v>96.89</v>
      </c>
      <c r="G3" s="1">
        <v>99.1</v>
      </c>
      <c r="H3" s="1" t="s">
        <v>1416</v>
      </c>
      <c r="I3" s="44">
        <v>96.35</v>
      </c>
      <c r="J3" s="1">
        <v>0.977</v>
      </c>
      <c r="K3" s="36" t="s">
        <v>1416</v>
      </c>
    </row>
    <row r="4">
      <c r="A4" s="1" t="s">
        <v>1426</v>
      </c>
      <c r="B4" s="1">
        <v>2022.0</v>
      </c>
      <c r="C4" s="1" t="s">
        <v>1433</v>
      </c>
      <c r="D4" s="1" t="s">
        <v>1430</v>
      </c>
      <c r="E4" s="1" t="s">
        <v>1416</v>
      </c>
      <c r="F4" s="44">
        <v>97.69</v>
      </c>
      <c r="G4" s="1">
        <v>98.15</v>
      </c>
      <c r="H4" s="1" t="s">
        <v>1416</v>
      </c>
      <c r="I4" s="44">
        <v>98.54</v>
      </c>
      <c r="J4" s="1">
        <v>0.9833</v>
      </c>
      <c r="K4" s="36" t="s">
        <v>1416</v>
      </c>
    </row>
    <row r="5">
      <c r="A5" s="1" t="s">
        <v>1426</v>
      </c>
      <c r="B5" s="1">
        <v>2022.0</v>
      </c>
      <c r="C5" s="1" t="s">
        <v>1435</v>
      </c>
      <c r="D5" s="1" t="s">
        <v>1430</v>
      </c>
      <c r="E5" s="1" t="s">
        <v>1416</v>
      </c>
      <c r="F5" s="44">
        <v>96.59</v>
      </c>
      <c r="G5" s="44">
        <v>97.85</v>
      </c>
      <c r="H5" s="1" t="s">
        <v>1416</v>
      </c>
      <c r="I5" s="44">
        <v>97.23</v>
      </c>
      <c r="J5" s="1">
        <v>0.9751</v>
      </c>
      <c r="K5" s="36" t="s">
        <v>1416</v>
      </c>
    </row>
    <row r="6">
      <c r="A6" s="1" t="s">
        <v>1426</v>
      </c>
      <c r="B6" s="1">
        <v>2022.0</v>
      </c>
      <c r="C6" s="45" t="s">
        <v>1443</v>
      </c>
      <c r="D6" s="1" t="s">
        <v>1430</v>
      </c>
      <c r="E6" s="1" t="s">
        <v>1416</v>
      </c>
      <c r="F6" s="45">
        <v>99.0</v>
      </c>
      <c r="G6" s="44">
        <v>99.86</v>
      </c>
      <c r="H6" s="1" t="s">
        <v>1416</v>
      </c>
      <c r="I6" s="1">
        <v>98.69</v>
      </c>
      <c r="J6" s="1">
        <v>0.9926</v>
      </c>
      <c r="K6" s="36" t="s">
        <v>1416</v>
      </c>
    </row>
    <row r="7">
      <c r="A7" s="1" t="s">
        <v>1426</v>
      </c>
      <c r="B7" s="1">
        <v>2022.0</v>
      </c>
      <c r="C7" s="45" t="s">
        <v>1444</v>
      </c>
      <c r="D7" s="1" t="s">
        <v>1430</v>
      </c>
      <c r="E7" s="1" t="s">
        <v>1416</v>
      </c>
      <c r="F7" s="44">
        <v>99.05</v>
      </c>
      <c r="G7" s="1">
        <v>99.86</v>
      </c>
      <c r="H7" s="1" t="s">
        <v>1416</v>
      </c>
      <c r="I7" s="44">
        <v>98.76</v>
      </c>
      <c r="J7" s="1">
        <v>0.993</v>
      </c>
      <c r="K7" s="36" t="s">
        <v>1416</v>
      </c>
    </row>
    <row r="8">
      <c r="A8" s="1" t="s">
        <v>1426</v>
      </c>
      <c r="B8" s="1">
        <v>2022.0</v>
      </c>
      <c r="C8" s="45" t="s">
        <v>1449</v>
      </c>
      <c r="D8" s="1" t="s">
        <v>1430</v>
      </c>
      <c r="E8" s="1" t="s">
        <v>1416</v>
      </c>
      <c r="F8" s="44">
        <v>99.7</v>
      </c>
      <c r="G8" s="44">
        <v>99.78</v>
      </c>
      <c r="H8" s="1" t="s">
        <v>1416</v>
      </c>
      <c r="I8" s="44">
        <v>99.78</v>
      </c>
      <c r="J8" s="1">
        <v>0.9978</v>
      </c>
      <c r="K8" s="36" t="s">
        <v>1416</v>
      </c>
    </row>
    <row r="9">
      <c r="A9" s="38" t="s">
        <v>1450</v>
      </c>
      <c r="B9" s="38">
        <v>2022.0</v>
      </c>
      <c r="C9" s="1" t="s">
        <v>1451</v>
      </c>
      <c r="D9" s="46" t="s">
        <v>1452</v>
      </c>
      <c r="E9" s="1" t="s">
        <v>1416</v>
      </c>
      <c r="F9" s="1">
        <v>87.5</v>
      </c>
      <c r="G9" s="1" t="s">
        <v>1416</v>
      </c>
      <c r="H9" s="1" t="s">
        <v>1416</v>
      </c>
      <c r="I9" s="1" t="s">
        <v>1416</v>
      </c>
      <c r="J9" s="1" t="s">
        <v>1416</v>
      </c>
      <c r="K9" s="36" t="s">
        <v>1416</v>
      </c>
    </row>
    <row r="10">
      <c r="A10" s="38" t="s">
        <v>1450</v>
      </c>
      <c r="B10" s="38">
        <v>2022.0</v>
      </c>
      <c r="C10" s="1" t="s">
        <v>1458</v>
      </c>
      <c r="D10" s="46" t="s">
        <v>1452</v>
      </c>
      <c r="E10" s="1" t="s">
        <v>1416</v>
      </c>
      <c r="F10" s="1">
        <v>72.91</v>
      </c>
      <c r="G10" s="1" t="s">
        <v>1416</v>
      </c>
      <c r="H10" s="1" t="s">
        <v>1416</v>
      </c>
      <c r="I10" s="1" t="s">
        <v>1416</v>
      </c>
      <c r="J10" s="1" t="s">
        <v>1416</v>
      </c>
      <c r="K10" s="36" t="s">
        <v>1416</v>
      </c>
    </row>
    <row r="11">
      <c r="A11" s="38" t="s">
        <v>1450</v>
      </c>
      <c r="B11" s="38">
        <v>2022.0</v>
      </c>
      <c r="C11" s="1" t="s">
        <v>1464</v>
      </c>
      <c r="D11" s="46" t="s">
        <v>1452</v>
      </c>
      <c r="E11" s="1" t="s">
        <v>1416</v>
      </c>
      <c r="F11" s="1">
        <v>75.0</v>
      </c>
      <c r="G11" s="1" t="s">
        <v>1416</v>
      </c>
      <c r="H11" s="1" t="s">
        <v>1416</v>
      </c>
      <c r="I11" s="1" t="s">
        <v>1416</v>
      </c>
      <c r="J11" s="1" t="s">
        <v>1416</v>
      </c>
      <c r="K11" s="36" t="s">
        <v>1416</v>
      </c>
    </row>
    <row r="12">
      <c r="A12" s="1" t="s">
        <v>1467</v>
      </c>
      <c r="B12" s="1">
        <v>2021.0</v>
      </c>
      <c r="C12" s="1" t="s">
        <v>1468</v>
      </c>
      <c r="D12" s="46" t="s">
        <v>1452</v>
      </c>
      <c r="E12" s="1" t="s">
        <v>1416</v>
      </c>
      <c r="F12" s="1">
        <v>88.92</v>
      </c>
      <c r="G12" s="1" t="s">
        <v>1416</v>
      </c>
      <c r="H12" s="1" t="s">
        <v>1416</v>
      </c>
      <c r="I12" s="1" t="s">
        <v>1416</v>
      </c>
      <c r="J12" s="1" t="s">
        <v>1416</v>
      </c>
      <c r="K12" s="36" t="s">
        <v>1416</v>
      </c>
    </row>
    <row r="13">
      <c r="A13" s="38" t="s">
        <v>1469</v>
      </c>
      <c r="B13" s="1">
        <v>2020.0</v>
      </c>
      <c r="C13" s="1" t="s">
        <v>1470</v>
      </c>
      <c r="D13" s="1" t="s">
        <v>1471</v>
      </c>
      <c r="E13" s="1" t="s">
        <v>1416</v>
      </c>
      <c r="F13" s="1">
        <v>94.42</v>
      </c>
      <c r="G13" s="1">
        <v>94.99</v>
      </c>
      <c r="H13" s="1" t="s">
        <v>1416</v>
      </c>
      <c r="I13" s="1">
        <v>94.42</v>
      </c>
      <c r="J13" s="1">
        <v>0.9449</v>
      </c>
      <c r="K13" s="36" t="s">
        <v>1416</v>
      </c>
    </row>
    <row r="14">
      <c r="A14" s="38" t="s">
        <v>1469</v>
      </c>
      <c r="B14" s="1">
        <v>2020.0</v>
      </c>
      <c r="C14" s="1" t="s">
        <v>1473</v>
      </c>
      <c r="D14" s="1" t="s">
        <v>1471</v>
      </c>
      <c r="E14" s="1" t="s">
        <v>1416</v>
      </c>
      <c r="F14" s="1">
        <v>97.03</v>
      </c>
      <c r="G14" s="1">
        <v>97.41</v>
      </c>
      <c r="H14" s="1" t="s">
        <v>1416</v>
      </c>
      <c r="I14" s="1">
        <v>97.03</v>
      </c>
      <c r="J14" s="1">
        <v>0.9705</v>
      </c>
      <c r="K14" s="36" t="s">
        <v>1416</v>
      </c>
    </row>
    <row r="15">
      <c r="A15" s="1" t="s">
        <v>1481</v>
      </c>
      <c r="B15" s="1">
        <v>2020.0</v>
      </c>
      <c r="C15" s="1" t="s">
        <v>1483</v>
      </c>
      <c r="D15" s="1" t="s">
        <v>1484</v>
      </c>
      <c r="E15" s="1">
        <v>126.0</v>
      </c>
      <c r="F15" s="1" t="s">
        <v>1416</v>
      </c>
      <c r="G15" s="1" t="s">
        <v>1416</v>
      </c>
      <c r="H15" s="1" t="s">
        <v>1416</v>
      </c>
      <c r="I15" s="1" t="s">
        <v>1416</v>
      </c>
      <c r="J15" s="1" t="s">
        <v>1416</v>
      </c>
      <c r="K15" s="1">
        <v>0.9189</v>
      </c>
    </row>
    <row r="16">
      <c r="A16" s="1" t="s">
        <v>1490</v>
      </c>
      <c r="B16" s="1">
        <v>2019.0</v>
      </c>
      <c r="C16" s="1" t="s">
        <v>1492</v>
      </c>
      <c r="D16" s="48" t="s">
        <v>1494</v>
      </c>
      <c r="F16" s="1">
        <v>98.76</v>
      </c>
      <c r="G16" s="1">
        <v>100.0</v>
      </c>
      <c r="H16" s="1">
        <v>100.0</v>
      </c>
      <c r="I16" s="1">
        <v>91.42</v>
      </c>
      <c r="J16" s="1">
        <v>0.955</v>
      </c>
      <c r="K16" s="36" t="s">
        <v>1416</v>
      </c>
    </row>
    <row r="17">
      <c r="A17" s="1" t="s">
        <v>1500</v>
      </c>
      <c r="B17" s="1">
        <v>2019.0</v>
      </c>
      <c r="C17" s="1" t="s">
        <v>1503</v>
      </c>
      <c r="D17" s="1" t="s">
        <v>1506</v>
      </c>
      <c r="E17" s="1" t="s">
        <v>1416</v>
      </c>
      <c r="F17" s="1" t="s">
        <v>1416</v>
      </c>
      <c r="G17" s="1" t="s">
        <v>1416</v>
      </c>
      <c r="H17" s="1"/>
      <c r="I17" s="1" t="s">
        <v>1416</v>
      </c>
      <c r="J17" s="1" t="s">
        <v>1416</v>
      </c>
      <c r="K17" s="36" t="s">
        <v>1416</v>
      </c>
    </row>
    <row r="18">
      <c r="A18" s="1" t="s">
        <v>1510</v>
      </c>
      <c r="B18" s="1">
        <v>2018.0</v>
      </c>
      <c r="C18" s="1" t="s">
        <v>1511</v>
      </c>
      <c r="D18" s="1" t="s">
        <v>1513</v>
      </c>
      <c r="E18" s="1">
        <v>1.59</v>
      </c>
      <c r="F18" s="1" t="s">
        <v>1416</v>
      </c>
      <c r="G18" s="1">
        <v>78.0</v>
      </c>
      <c r="H18" s="1"/>
      <c r="I18" s="1">
        <v>79.0</v>
      </c>
      <c r="J18" s="1">
        <v>0.784</v>
      </c>
      <c r="K18" s="36" t="s">
        <v>1416</v>
      </c>
    </row>
    <row r="19">
      <c r="A19" s="38" t="s">
        <v>1515</v>
      </c>
      <c r="B19" s="1">
        <v>2024.0</v>
      </c>
      <c r="C19" s="1" t="s">
        <v>1516</v>
      </c>
      <c r="D19" s="36" t="s">
        <v>1953</v>
      </c>
      <c r="F19" s="1">
        <v>98.74</v>
      </c>
      <c r="G19" s="1">
        <v>99.0</v>
      </c>
      <c r="I19" s="1">
        <v>99.0</v>
      </c>
      <c r="J19" s="1">
        <v>0.99</v>
      </c>
      <c r="K19" s="36">
        <v>0.9908</v>
      </c>
    </row>
    <row r="20">
      <c r="A20" s="38" t="s">
        <v>1515</v>
      </c>
      <c r="B20" s="1">
        <v>2024.0</v>
      </c>
      <c r="C20" s="1" t="s">
        <v>1516</v>
      </c>
      <c r="D20" s="1" t="s">
        <v>1430</v>
      </c>
      <c r="F20" s="1">
        <v>97.5</v>
      </c>
      <c r="G20" s="1">
        <v>97.5</v>
      </c>
      <c r="I20" s="1">
        <v>97.62</v>
      </c>
      <c r="J20" s="1">
        <v>0.975</v>
      </c>
      <c r="K20" s="36">
        <v>0.975</v>
      </c>
    </row>
    <row r="21">
      <c r="A21" s="38" t="s">
        <v>1523</v>
      </c>
      <c r="B21" s="1">
        <v>2024.0</v>
      </c>
      <c r="C21" s="1" t="s">
        <v>1525</v>
      </c>
      <c r="D21" s="1" t="s">
        <v>59</v>
      </c>
      <c r="F21" s="1">
        <v>98.47</v>
      </c>
      <c r="G21" s="1">
        <v>98.31</v>
      </c>
      <c r="I21" s="1">
        <v>98.42</v>
      </c>
      <c r="J21" s="1" t="s">
        <v>1416</v>
      </c>
      <c r="K21" s="36">
        <v>0.983</v>
      </c>
    </row>
    <row r="22">
      <c r="A22" s="38" t="s">
        <v>1529</v>
      </c>
      <c r="B22" s="1">
        <v>2024.0</v>
      </c>
      <c r="C22" s="1" t="s">
        <v>1492</v>
      </c>
      <c r="D22" s="1" t="s">
        <v>1531</v>
      </c>
      <c r="F22" s="1">
        <v>85.0</v>
      </c>
      <c r="G22" s="1">
        <v>81.98</v>
      </c>
      <c r="I22" s="1">
        <v>97.88</v>
      </c>
      <c r="J22" s="1">
        <v>0.8923</v>
      </c>
      <c r="K22" s="36">
        <v>0.983</v>
      </c>
    </row>
    <row r="23">
      <c r="A23" s="1" t="s">
        <v>1534</v>
      </c>
      <c r="B23" s="1">
        <v>2022.0</v>
      </c>
      <c r="C23" s="1" t="s">
        <v>1535</v>
      </c>
      <c r="D23" s="1" t="s">
        <v>1536</v>
      </c>
      <c r="F23" s="1">
        <v>88.0</v>
      </c>
      <c r="K23" s="43"/>
    </row>
    <row r="24">
      <c r="A24" s="38" t="s">
        <v>1537</v>
      </c>
      <c r="B24" s="1">
        <v>2024.0</v>
      </c>
      <c r="C24" s="1" t="s">
        <v>1492</v>
      </c>
      <c r="D24" s="1" t="s">
        <v>1506</v>
      </c>
      <c r="F24" s="1">
        <v>99.3</v>
      </c>
      <c r="K24" s="43"/>
    </row>
    <row r="25">
      <c r="A25" s="38" t="s">
        <v>1538</v>
      </c>
      <c r="B25" s="1">
        <v>2020.0</v>
      </c>
      <c r="C25" s="1" t="s">
        <v>1539</v>
      </c>
      <c r="D25" s="1" t="s">
        <v>1541</v>
      </c>
      <c r="H25" s="1">
        <v>96.33</v>
      </c>
      <c r="I25" s="1">
        <v>89.25</v>
      </c>
      <c r="K25" s="43"/>
    </row>
    <row r="26">
      <c r="A26" s="38" t="s">
        <v>1542</v>
      </c>
      <c r="B26" s="1">
        <v>2021.0</v>
      </c>
      <c r="C26" s="1" t="s">
        <v>1543</v>
      </c>
      <c r="D26" s="1" t="s">
        <v>1430</v>
      </c>
      <c r="F26" s="1">
        <v>76.0</v>
      </c>
      <c r="K26" s="43"/>
    </row>
    <row r="27">
      <c r="A27" s="38" t="s">
        <v>1544</v>
      </c>
      <c r="B27" s="1">
        <v>2023.0</v>
      </c>
      <c r="C27" s="1" t="s">
        <v>1492</v>
      </c>
      <c r="D27" s="1" t="s">
        <v>1545</v>
      </c>
      <c r="F27" s="1">
        <v>99.0</v>
      </c>
      <c r="K27" s="43"/>
    </row>
    <row r="28">
      <c r="A28" s="38" t="s">
        <v>1548</v>
      </c>
      <c r="B28" s="1">
        <v>2024.0</v>
      </c>
      <c r="C28" s="1" t="s">
        <v>1492</v>
      </c>
      <c r="D28" s="1" t="s">
        <v>1954</v>
      </c>
      <c r="F28" s="49">
        <v>99.17</v>
      </c>
      <c r="G28" s="49">
        <v>99.16</v>
      </c>
      <c r="H28" s="49">
        <v>99.72</v>
      </c>
      <c r="I28" s="49">
        <v>99.14</v>
      </c>
      <c r="J28" s="49">
        <v>99.15</v>
      </c>
      <c r="K28" s="43"/>
    </row>
    <row r="29">
      <c r="A29" s="38" t="s">
        <v>1548</v>
      </c>
      <c r="B29" s="1">
        <v>2024.0</v>
      </c>
      <c r="C29" s="1" t="s">
        <v>1492</v>
      </c>
      <c r="D29" s="1" t="s">
        <v>1955</v>
      </c>
      <c r="F29" s="1">
        <v>98.42</v>
      </c>
      <c r="G29" s="1">
        <v>98.48</v>
      </c>
      <c r="H29" s="1">
        <v>99.2</v>
      </c>
      <c r="I29" s="1">
        <v>98.37</v>
      </c>
      <c r="J29" s="1">
        <v>98.42</v>
      </c>
      <c r="K29" s="43"/>
    </row>
    <row r="30">
      <c r="A30" s="38" t="s">
        <v>1557</v>
      </c>
      <c r="B30" s="1">
        <v>2024.0</v>
      </c>
      <c r="C30" s="1" t="s">
        <v>1543</v>
      </c>
      <c r="D30" s="1" t="s">
        <v>1430</v>
      </c>
      <c r="F30" s="1">
        <v>78.0</v>
      </c>
      <c r="K30" s="43"/>
    </row>
    <row r="31">
      <c r="A31" s="38" t="s">
        <v>1559</v>
      </c>
      <c r="B31" s="1">
        <v>2024.0</v>
      </c>
      <c r="C31" s="50" t="s">
        <v>1560</v>
      </c>
      <c r="D31" s="1" t="s">
        <v>1561</v>
      </c>
      <c r="F31" s="1">
        <v>99.0</v>
      </c>
      <c r="G31" s="1">
        <v>99.0</v>
      </c>
      <c r="H31" s="1">
        <v>99.0</v>
      </c>
      <c r="I31" s="1">
        <v>99.0</v>
      </c>
      <c r="J31" s="1">
        <v>0.99</v>
      </c>
      <c r="K31" s="43"/>
    </row>
    <row r="32">
      <c r="A32" s="38" t="s">
        <v>1563</v>
      </c>
      <c r="B32" s="1">
        <v>2023.0</v>
      </c>
      <c r="C32" s="1" t="s">
        <v>1564</v>
      </c>
      <c r="D32" s="1" t="s">
        <v>1565</v>
      </c>
      <c r="F32" s="1">
        <v>98.0</v>
      </c>
      <c r="K32" s="43"/>
    </row>
    <row r="33">
      <c r="A33" s="1" t="s">
        <v>1956</v>
      </c>
      <c r="B33" s="1">
        <v>2023.0</v>
      </c>
      <c r="C33" s="1" t="s">
        <v>1957</v>
      </c>
      <c r="D33" s="1" t="s">
        <v>1958</v>
      </c>
      <c r="E33" s="74">
        <v>4712.0</v>
      </c>
      <c r="F33" s="1">
        <v>92.3</v>
      </c>
      <c r="G33" s="1">
        <v>84.09</v>
      </c>
      <c r="I33" s="1">
        <v>88.0</v>
      </c>
      <c r="J33" s="1">
        <v>0.86</v>
      </c>
      <c r="K33" s="49" t="s">
        <v>1416</v>
      </c>
    </row>
    <row r="34">
      <c r="A34" s="1" t="s">
        <v>1956</v>
      </c>
      <c r="B34" s="1">
        <v>2023.0</v>
      </c>
      <c r="C34" s="1" t="s">
        <v>1957</v>
      </c>
      <c r="D34" s="1" t="s">
        <v>1959</v>
      </c>
      <c r="E34" s="1">
        <v>478.0</v>
      </c>
      <c r="F34" s="1">
        <v>98.56</v>
      </c>
      <c r="G34" s="1">
        <v>96.42</v>
      </c>
      <c r="I34" s="1">
        <v>98.18</v>
      </c>
      <c r="J34" s="1">
        <v>0.9729</v>
      </c>
      <c r="K34" s="49" t="s">
        <v>1416</v>
      </c>
    </row>
    <row r="35">
      <c r="A35" s="1" t="s">
        <v>1956</v>
      </c>
      <c r="B35" s="1">
        <v>2023.0</v>
      </c>
      <c r="C35" s="1" t="s">
        <v>1960</v>
      </c>
      <c r="D35" s="1" t="s">
        <v>1452</v>
      </c>
      <c r="E35" s="74">
        <v>1609.0</v>
      </c>
      <c r="F35" s="1">
        <v>92.0</v>
      </c>
      <c r="G35" s="1">
        <v>92.16</v>
      </c>
      <c r="I35" s="1">
        <v>91.94</v>
      </c>
      <c r="J35" s="1">
        <v>0.9215</v>
      </c>
      <c r="K35" s="49" t="s">
        <v>1416</v>
      </c>
    </row>
    <row r="36">
      <c r="A36" s="1" t="s">
        <v>1961</v>
      </c>
      <c r="B36" s="1">
        <v>2023.0</v>
      </c>
      <c r="C36" s="1" t="s">
        <v>1962</v>
      </c>
      <c r="D36" s="1" t="s">
        <v>1430</v>
      </c>
      <c r="E36" s="1">
        <v>0.06</v>
      </c>
      <c r="F36" s="1">
        <v>95.3</v>
      </c>
      <c r="G36" s="1">
        <v>98.8</v>
      </c>
      <c r="I36" s="1">
        <v>99.8</v>
      </c>
      <c r="J36" s="1">
        <v>0.969</v>
      </c>
      <c r="K36" s="1" t="s">
        <v>1416</v>
      </c>
    </row>
    <row r="37">
      <c r="A37" s="1" t="s">
        <v>1963</v>
      </c>
      <c r="B37" s="1">
        <v>2023.0</v>
      </c>
      <c r="C37" s="1" t="s">
        <v>1964</v>
      </c>
      <c r="D37" s="1" t="s">
        <v>1965</v>
      </c>
      <c r="E37" s="1">
        <v>354.0</v>
      </c>
      <c r="F37" s="1">
        <v>97.23</v>
      </c>
      <c r="G37" s="1">
        <v>98.11</v>
      </c>
      <c r="I37" s="1">
        <v>97.71</v>
      </c>
      <c r="J37" s="1">
        <v>0.9798</v>
      </c>
      <c r="K37" s="1">
        <v>0.9653</v>
      </c>
    </row>
    <row r="38">
      <c r="A38" s="1" t="s">
        <v>1966</v>
      </c>
      <c r="B38" s="1">
        <v>2023.0</v>
      </c>
      <c r="C38" s="1" t="s">
        <v>1967</v>
      </c>
      <c r="D38" s="1" t="s">
        <v>1968</v>
      </c>
      <c r="E38" s="1">
        <v>0.67</v>
      </c>
      <c r="F38" s="1">
        <v>96.25</v>
      </c>
      <c r="G38" s="1">
        <v>99.8</v>
      </c>
      <c r="I38" s="1">
        <v>99.4</v>
      </c>
      <c r="J38" s="1">
        <v>0.995</v>
      </c>
      <c r="K38" s="1" t="s">
        <v>1416</v>
      </c>
    </row>
    <row r="39">
      <c r="A39" s="1" t="s">
        <v>1966</v>
      </c>
      <c r="B39" s="1">
        <v>2023.0</v>
      </c>
      <c r="C39" s="1" t="s">
        <v>1967</v>
      </c>
      <c r="D39" s="1" t="s">
        <v>1430</v>
      </c>
      <c r="E39" s="1">
        <v>0.21</v>
      </c>
      <c r="F39" s="1">
        <v>99.4</v>
      </c>
      <c r="G39" s="1" t="s">
        <v>1416</v>
      </c>
      <c r="H39" s="1" t="s">
        <v>1416</v>
      </c>
      <c r="I39" s="1" t="s">
        <v>1416</v>
      </c>
      <c r="J39" s="1" t="s">
        <v>1416</v>
      </c>
      <c r="K39" s="1" t="s">
        <v>1416</v>
      </c>
    </row>
    <row r="40">
      <c r="A40" s="1" t="s">
        <v>1966</v>
      </c>
      <c r="B40" s="1">
        <v>2023.0</v>
      </c>
      <c r="C40" s="1" t="s">
        <v>1967</v>
      </c>
      <c r="D40" s="1" t="s">
        <v>1969</v>
      </c>
      <c r="E40" s="1">
        <v>10.6</v>
      </c>
      <c r="F40" s="1">
        <v>72.2</v>
      </c>
      <c r="G40" s="1">
        <v>75.8</v>
      </c>
      <c r="I40" s="1">
        <v>74.4</v>
      </c>
      <c r="J40" s="1">
        <v>0.755</v>
      </c>
      <c r="K40" s="1" t="s">
        <v>1416</v>
      </c>
    </row>
    <row r="41">
      <c r="A41" s="1" t="s">
        <v>1970</v>
      </c>
      <c r="B41" s="1">
        <v>2023.0</v>
      </c>
      <c r="C41" s="1" t="s">
        <v>1971</v>
      </c>
      <c r="D41" s="1" t="s">
        <v>1958</v>
      </c>
      <c r="E41" s="1">
        <v>264.0</v>
      </c>
      <c r="F41" s="1">
        <v>89.49</v>
      </c>
      <c r="G41" s="1">
        <v>83.46</v>
      </c>
      <c r="I41" s="1">
        <v>78.7</v>
      </c>
      <c r="J41" s="1">
        <v>0.8101</v>
      </c>
      <c r="K41" s="1" t="s">
        <v>1416</v>
      </c>
    </row>
    <row r="42">
      <c r="A42" s="1" t="s">
        <v>1972</v>
      </c>
      <c r="B42" s="1">
        <v>2024.0</v>
      </c>
      <c r="C42" s="1" t="s">
        <v>1973</v>
      </c>
      <c r="D42" s="1" t="s">
        <v>1430</v>
      </c>
      <c r="F42" s="1">
        <v>98.32</v>
      </c>
      <c r="G42" s="1">
        <v>98.22</v>
      </c>
      <c r="I42" s="1">
        <v>99.4</v>
      </c>
      <c r="J42" s="1">
        <v>0.9881</v>
      </c>
      <c r="K42" s="1">
        <v>0.98</v>
      </c>
    </row>
    <row r="43">
      <c r="B43" s="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3"/>
    <col customWidth="1" min="3" max="3" width="21.5"/>
    <col customWidth="1" min="4" max="4" width="15.88"/>
    <col customWidth="1" min="5" max="5" width="9.75"/>
    <col customWidth="1" min="6" max="6" width="8.13"/>
    <col customWidth="1" min="7" max="7" width="8.63"/>
    <col customWidth="1" min="8" max="8" width="9.25"/>
    <col customWidth="1" min="9" max="9" width="10.0"/>
    <col customWidth="1" min="10" max="10" width="5.0"/>
    <col customWidth="1" min="11" max="11" width="8.63"/>
    <col customWidth="1" min="12" max="12" width="7.88"/>
    <col customWidth="1" min="13" max="13" width="13.5"/>
    <col customWidth="1" min="14" max="14" width="11.5"/>
    <col customWidth="1" min="15" max="15" width="16.88"/>
    <col customWidth="1" min="16" max="16" width="16.5"/>
  </cols>
  <sheetData>
    <row r="1">
      <c r="A1" s="75" t="s">
        <v>1974</v>
      </c>
      <c r="B1" s="75" t="s">
        <v>1975</v>
      </c>
      <c r="C1" s="75" t="s">
        <v>1394</v>
      </c>
      <c r="D1" s="1" t="s">
        <v>1396</v>
      </c>
      <c r="E1" s="1" t="s">
        <v>1976</v>
      </c>
      <c r="F1" s="49" t="s">
        <v>1399</v>
      </c>
      <c r="G1" s="49" t="s">
        <v>1400</v>
      </c>
      <c r="H1" s="49" t="s">
        <v>1401</v>
      </c>
      <c r="I1" s="76" t="s">
        <v>1402</v>
      </c>
      <c r="J1" s="49" t="s">
        <v>1977</v>
      </c>
      <c r="K1" s="36" t="s">
        <v>1408</v>
      </c>
      <c r="L1" s="1" t="s">
        <v>1978</v>
      </c>
      <c r="M1" s="1" t="s">
        <v>1979</v>
      </c>
      <c r="N1" s="1" t="s">
        <v>1980</v>
      </c>
      <c r="O1" s="75" t="s">
        <v>1981</v>
      </c>
      <c r="P1" s="77" t="s">
        <v>1982</v>
      </c>
    </row>
    <row r="2">
      <c r="A2" s="75" t="s">
        <v>1983</v>
      </c>
      <c r="B2" s="75">
        <v>2025.0</v>
      </c>
      <c r="C2" s="75" t="s">
        <v>1984</v>
      </c>
      <c r="D2" s="1" t="s">
        <v>1985</v>
      </c>
      <c r="E2" s="1" t="s">
        <v>1986</v>
      </c>
      <c r="F2" s="49" t="s">
        <v>1987</v>
      </c>
      <c r="G2" s="78"/>
      <c r="H2" s="78"/>
      <c r="I2" s="78"/>
      <c r="J2" s="78"/>
      <c r="L2" s="1">
        <v>582.0</v>
      </c>
      <c r="M2" s="1" t="s">
        <v>1988</v>
      </c>
      <c r="N2" s="75" t="s">
        <v>1989</v>
      </c>
      <c r="O2" s="75" t="s">
        <v>1990</v>
      </c>
      <c r="P2" s="36" t="s">
        <v>1991</v>
      </c>
    </row>
    <row r="3">
      <c r="A3" s="75" t="s">
        <v>1992</v>
      </c>
      <c r="B3" s="75">
        <v>2023.0</v>
      </c>
      <c r="C3" s="75" t="s">
        <v>1993</v>
      </c>
      <c r="D3" s="1" t="s">
        <v>1994</v>
      </c>
      <c r="F3" s="49" t="s">
        <v>1995</v>
      </c>
      <c r="G3" s="49" t="s">
        <v>1996</v>
      </c>
      <c r="H3" s="49" t="s">
        <v>1997</v>
      </c>
      <c r="I3" s="49" t="s">
        <v>1998</v>
      </c>
      <c r="J3" s="49">
        <v>97.98</v>
      </c>
      <c r="K3" s="49" t="s">
        <v>1999</v>
      </c>
      <c r="O3" s="75" t="s">
        <v>2000</v>
      </c>
      <c r="P3" s="77" t="s">
        <v>2001</v>
      </c>
    </row>
    <row r="4">
      <c r="A4" s="75" t="s">
        <v>2002</v>
      </c>
      <c r="B4" s="75">
        <v>2024.0</v>
      </c>
      <c r="C4" s="75" t="s">
        <v>2003</v>
      </c>
      <c r="D4" s="1" t="s">
        <v>2004</v>
      </c>
      <c r="F4" s="49">
        <v>97.54</v>
      </c>
      <c r="G4" s="49">
        <v>98.0</v>
      </c>
      <c r="H4" s="78"/>
      <c r="I4" s="49">
        <v>96.0</v>
      </c>
      <c r="J4" s="49">
        <v>97.0</v>
      </c>
      <c r="O4" s="75" t="s">
        <v>2000</v>
      </c>
      <c r="P4" s="77" t="s">
        <v>2005</v>
      </c>
    </row>
    <row r="5">
      <c r="A5" s="75" t="s">
        <v>2006</v>
      </c>
      <c r="B5" s="75">
        <v>2025.0</v>
      </c>
      <c r="C5" s="75" t="s">
        <v>2007</v>
      </c>
      <c r="D5" s="1" t="s">
        <v>2008</v>
      </c>
      <c r="F5" s="49" t="s">
        <v>2009</v>
      </c>
      <c r="G5" s="78"/>
      <c r="H5" s="78"/>
      <c r="I5" s="78"/>
      <c r="J5" s="78"/>
      <c r="K5" s="49" t="s">
        <v>2010</v>
      </c>
      <c r="L5" s="1" t="s">
        <v>2011</v>
      </c>
      <c r="M5" s="1" t="s">
        <v>2012</v>
      </c>
      <c r="O5" s="75" t="s">
        <v>2000</v>
      </c>
      <c r="P5" s="77" t="s">
        <v>2013</v>
      </c>
    </row>
    <row r="6">
      <c r="A6" s="75" t="s">
        <v>2014</v>
      </c>
      <c r="B6" s="75">
        <v>2025.0</v>
      </c>
      <c r="C6" s="75" t="s">
        <v>2015</v>
      </c>
      <c r="D6" s="1" t="s">
        <v>2016</v>
      </c>
      <c r="F6" s="49" t="s">
        <v>2017</v>
      </c>
      <c r="G6" s="49" t="s">
        <v>2018</v>
      </c>
      <c r="H6" s="78"/>
      <c r="I6" s="49" t="s">
        <v>2017</v>
      </c>
      <c r="J6" s="49" t="s">
        <v>2019</v>
      </c>
      <c r="N6" s="79"/>
      <c r="O6" s="1" t="s">
        <v>2000</v>
      </c>
      <c r="P6" s="36" t="s">
        <v>2001</v>
      </c>
    </row>
    <row r="7">
      <c r="A7" s="75" t="s">
        <v>2020</v>
      </c>
      <c r="B7" s="75">
        <v>2025.0</v>
      </c>
      <c r="C7" s="75" t="s">
        <v>2021</v>
      </c>
      <c r="D7" s="1" t="s">
        <v>2022</v>
      </c>
      <c r="F7" s="49" t="s">
        <v>2023</v>
      </c>
      <c r="G7" s="78"/>
      <c r="H7" s="78"/>
      <c r="I7" s="78"/>
      <c r="J7" s="1" t="s">
        <v>2024</v>
      </c>
      <c r="K7" s="49"/>
      <c r="L7" s="1" t="s">
        <v>2025</v>
      </c>
      <c r="M7" s="1" t="s">
        <v>2026</v>
      </c>
      <c r="O7" s="1" t="s">
        <v>2000</v>
      </c>
      <c r="P7" s="77" t="s">
        <v>2013</v>
      </c>
    </row>
    <row r="8">
      <c r="A8" s="1" t="s">
        <v>2027</v>
      </c>
      <c r="B8" s="1">
        <v>2025.0</v>
      </c>
      <c r="C8" s="1" t="s">
        <v>2028</v>
      </c>
      <c r="D8" s="1" t="s">
        <v>2029</v>
      </c>
      <c r="F8" s="1" t="s">
        <v>2030</v>
      </c>
      <c r="G8" s="1" t="s">
        <v>2031</v>
      </c>
      <c r="I8" s="1" t="s">
        <v>2032</v>
      </c>
      <c r="L8" s="1" t="s">
        <v>2033</v>
      </c>
      <c r="M8" s="1" t="s">
        <v>2034</v>
      </c>
      <c r="N8" s="1">
        <v>0.083</v>
      </c>
      <c r="O8" s="1" t="s">
        <v>2000</v>
      </c>
      <c r="P8" s="36" t="s">
        <v>2035</v>
      </c>
    </row>
    <row r="9">
      <c r="A9" s="75" t="s">
        <v>2036</v>
      </c>
      <c r="B9" s="75">
        <v>2026.0</v>
      </c>
      <c r="C9" s="75" t="s">
        <v>2037</v>
      </c>
      <c r="D9" s="1" t="s">
        <v>2038</v>
      </c>
      <c r="F9" s="49" t="s">
        <v>2039</v>
      </c>
      <c r="G9" s="49" t="s">
        <v>2040</v>
      </c>
      <c r="H9" s="49" t="s">
        <v>2040</v>
      </c>
      <c r="I9" s="49" t="s">
        <v>2041</v>
      </c>
      <c r="J9" s="49" t="s">
        <v>2042</v>
      </c>
      <c r="K9" s="1" t="s">
        <v>2043</v>
      </c>
      <c r="L9" s="1" t="s">
        <v>1416</v>
      </c>
      <c r="M9" s="1" t="s">
        <v>2044</v>
      </c>
      <c r="O9" s="75" t="s">
        <v>2000</v>
      </c>
      <c r="P9" s="77" t="s">
        <v>2045</v>
      </c>
    </row>
    <row r="10">
      <c r="A10" s="75" t="s">
        <v>2046</v>
      </c>
      <c r="B10" s="75">
        <v>2025.0</v>
      </c>
      <c r="C10" s="75" t="s">
        <v>2047</v>
      </c>
      <c r="D10" s="1" t="s">
        <v>1414</v>
      </c>
      <c r="F10" s="49">
        <v>98.6</v>
      </c>
      <c r="G10" s="49">
        <v>97.37</v>
      </c>
      <c r="H10" s="49">
        <v>98.57</v>
      </c>
      <c r="I10" s="49">
        <v>98.67</v>
      </c>
      <c r="J10" s="49">
        <v>98.02</v>
      </c>
      <c r="L10" s="1" t="s">
        <v>2049</v>
      </c>
      <c r="M10" s="1" t="s">
        <v>2050</v>
      </c>
      <c r="O10" s="75" t="s">
        <v>2000</v>
      </c>
      <c r="P10" s="77" t="s">
        <v>2051</v>
      </c>
    </row>
    <row r="11">
      <c r="A11" s="75" t="s">
        <v>2052</v>
      </c>
      <c r="B11" s="75">
        <v>2025.0</v>
      </c>
      <c r="C11" s="75" t="s">
        <v>2053</v>
      </c>
      <c r="D11" s="1" t="s">
        <v>2054</v>
      </c>
      <c r="F11" s="49" t="s">
        <v>2055</v>
      </c>
      <c r="G11" s="49" t="s">
        <v>2056</v>
      </c>
      <c r="H11" s="78"/>
      <c r="I11" s="49" t="s">
        <v>2057</v>
      </c>
      <c r="J11" s="49" t="s">
        <v>2058</v>
      </c>
      <c r="L11" s="1" t="s">
        <v>2059</v>
      </c>
      <c r="M11" s="1" t="s">
        <v>2060</v>
      </c>
      <c r="O11" s="75" t="s">
        <v>2000</v>
      </c>
      <c r="P11" s="77" t="s">
        <v>2061</v>
      </c>
    </row>
    <row r="12">
      <c r="A12" s="75" t="s">
        <v>2062</v>
      </c>
      <c r="B12" s="75">
        <v>2025.0</v>
      </c>
      <c r="C12" s="75" t="s">
        <v>2063</v>
      </c>
      <c r="D12" s="1" t="s">
        <v>2064</v>
      </c>
      <c r="E12" s="1" t="s">
        <v>2065</v>
      </c>
      <c r="F12" s="80">
        <v>93.73</v>
      </c>
      <c r="G12" s="80">
        <v>90.64</v>
      </c>
      <c r="H12" s="78"/>
      <c r="I12" s="80">
        <v>89.37</v>
      </c>
      <c r="J12" s="80">
        <v>89.9</v>
      </c>
      <c r="L12" s="75" t="s">
        <v>2066</v>
      </c>
      <c r="M12" s="38" t="s">
        <v>2067</v>
      </c>
      <c r="N12" s="1">
        <v>0.04506</v>
      </c>
      <c r="O12" s="75" t="s">
        <v>2000</v>
      </c>
      <c r="P12" s="77" t="s">
        <v>2068</v>
      </c>
    </row>
    <row r="13">
      <c r="A13" s="75" t="s">
        <v>2069</v>
      </c>
      <c r="B13" s="75">
        <v>2025.0</v>
      </c>
      <c r="C13" s="75" t="s">
        <v>2070</v>
      </c>
      <c r="D13" s="1" t="s">
        <v>2071</v>
      </c>
      <c r="F13" s="49">
        <v>97.0</v>
      </c>
      <c r="G13" s="49">
        <v>97.0</v>
      </c>
      <c r="H13" s="78"/>
      <c r="I13" s="49">
        <v>97.0</v>
      </c>
      <c r="J13" s="49">
        <v>97.0</v>
      </c>
      <c r="L13" s="1" t="s">
        <v>2074</v>
      </c>
      <c r="M13" s="1" t="s">
        <v>2044</v>
      </c>
      <c r="O13" s="75" t="s">
        <v>2000</v>
      </c>
      <c r="P13" s="77" t="s">
        <v>2051</v>
      </c>
    </row>
    <row r="14">
      <c r="A14" s="75" t="s">
        <v>2076</v>
      </c>
      <c r="B14" s="75">
        <v>2025.0</v>
      </c>
      <c r="C14" s="75" t="s">
        <v>2078</v>
      </c>
      <c r="D14" s="1" t="s">
        <v>2079</v>
      </c>
      <c r="F14" s="49" t="s">
        <v>2081</v>
      </c>
      <c r="G14" s="78"/>
      <c r="H14" s="78"/>
      <c r="I14" s="78"/>
      <c r="J14" s="1">
        <v>85.1</v>
      </c>
      <c r="M14" s="1" t="s">
        <v>2082</v>
      </c>
      <c r="N14" s="1" t="s">
        <v>2044</v>
      </c>
      <c r="O14" s="77" t="s">
        <v>2000</v>
      </c>
      <c r="P14" s="1" t="s">
        <v>2083</v>
      </c>
    </row>
    <row r="15">
      <c r="A15" s="75" t="s">
        <v>2085</v>
      </c>
      <c r="B15" s="75">
        <v>2025.0</v>
      </c>
      <c r="C15" s="75" t="s">
        <v>2086</v>
      </c>
      <c r="D15" s="1" t="s">
        <v>2087</v>
      </c>
      <c r="F15" s="49">
        <v>99.03</v>
      </c>
      <c r="G15" s="49">
        <v>98.79</v>
      </c>
      <c r="H15" s="78"/>
      <c r="I15" s="49">
        <v>98.97</v>
      </c>
      <c r="J15" s="49">
        <v>98.88</v>
      </c>
      <c r="L15" s="1" t="s">
        <v>2088</v>
      </c>
      <c r="M15" s="1" t="s">
        <v>2089</v>
      </c>
      <c r="N15" s="1">
        <v>0.0032</v>
      </c>
      <c r="O15" s="75" t="s">
        <v>2000</v>
      </c>
      <c r="P15" s="77" t="s">
        <v>2090</v>
      </c>
    </row>
    <row r="16">
      <c r="A16" s="75" t="s">
        <v>1621</v>
      </c>
      <c r="B16" s="75">
        <v>2021.0</v>
      </c>
      <c r="C16" s="75" t="s">
        <v>2093</v>
      </c>
      <c r="D16" s="1" t="s">
        <v>2095</v>
      </c>
      <c r="E16" s="1"/>
      <c r="F16" s="49">
        <v>91.1</v>
      </c>
      <c r="G16" s="49">
        <v>90.8</v>
      </c>
      <c r="H16" s="78"/>
      <c r="I16" s="49">
        <v>91.4</v>
      </c>
      <c r="J16" s="49">
        <v>91.1</v>
      </c>
      <c r="K16" s="1"/>
      <c r="L16" s="1"/>
      <c r="M16" s="1" t="s">
        <v>2044</v>
      </c>
      <c r="N16" s="1">
        <v>0.0018</v>
      </c>
      <c r="O16" s="75" t="s">
        <v>2099</v>
      </c>
      <c r="P16" s="77" t="s">
        <v>2101</v>
      </c>
    </row>
    <row r="17">
      <c r="A17" s="75" t="s">
        <v>2102</v>
      </c>
      <c r="B17" s="75">
        <v>2023.0</v>
      </c>
      <c r="C17" s="75" t="s">
        <v>2103</v>
      </c>
      <c r="D17" s="1" t="s">
        <v>2104</v>
      </c>
      <c r="F17" s="49">
        <v>86.5</v>
      </c>
      <c r="G17" s="49">
        <v>77.4</v>
      </c>
      <c r="H17" s="78"/>
      <c r="I17" s="49">
        <v>85.3</v>
      </c>
      <c r="J17" s="49">
        <v>81.2</v>
      </c>
      <c r="L17" s="1" t="s">
        <v>2105</v>
      </c>
      <c r="O17" s="75" t="s">
        <v>2099</v>
      </c>
      <c r="P17" s="77" t="s">
        <v>2107</v>
      </c>
    </row>
    <row r="18">
      <c r="A18" s="75" t="s">
        <v>1970</v>
      </c>
      <c r="B18" s="75">
        <v>2023.0</v>
      </c>
      <c r="C18" s="75" t="s">
        <v>2108</v>
      </c>
      <c r="D18" s="1" t="s">
        <v>2109</v>
      </c>
      <c r="F18" s="49">
        <v>90.3</v>
      </c>
      <c r="G18" s="49">
        <v>83.47</v>
      </c>
      <c r="H18" s="49">
        <v>93.79</v>
      </c>
      <c r="I18" s="49">
        <v>78.71</v>
      </c>
      <c r="J18" s="49">
        <v>81.03</v>
      </c>
      <c r="L18" s="1" t="s">
        <v>2111</v>
      </c>
      <c r="M18" s="1" t="s">
        <v>2112</v>
      </c>
      <c r="O18" s="75" t="s">
        <v>2099</v>
      </c>
      <c r="P18" s="77" t="s">
        <v>2113</v>
      </c>
    </row>
    <row r="19">
      <c r="A19" s="75" t="s">
        <v>2114</v>
      </c>
      <c r="B19" s="75">
        <v>2023.0</v>
      </c>
      <c r="C19" s="75" t="s">
        <v>2116</v>
      </c>
      <c r="D19" s="1" t="s">
        <v>2117</v>
      </c>
      <c r="F19" s="49">
        <v>80.0</v>
      </c>
      <c r="G19" s="78"/>
      <c r="H19" s="78"/>
      <c r="I19" s="78"/>
      <c r="J19" s="78"/>
      <c r="O19" s="75" t="s">
        <v>2099</v>
      </c>
      <c r="P19" s="77" t="s">
        <v>2118</v>
      </c>
    </row>
    <row r="20">
      <c r="A20" s="75" t="s">
        <v>2120</v>
      </c>
      <c r="B20" s="75">
        <v>2024.0</v>
      </c>
      <c r="C20" s="75" t="s">
        <v>2121</v>
      </c>
      <c r="D20" s="38" t="s">
        <v>2122</v>
      </c>
      <c r="F20" s="80" t="s">
        <v>2123</v>
      </c>
      <c r="G20" s="80" t="s">
        <v>2124</v>
      </c>
      <c r="H20" s="78"/>
      <c r="I20" s="80" t="s">
        <v>2125</v>
      </c>
      <c r="J20" s="78"/>
      <c r="L20" s="75" t="s">
        <v>2126</v>
      </c>
      <c r="M20" s="75" t="s">
        <v>2127</v>
      </c>
      <c r="N20" s="80" t="s">
        <v>2128</v>
      </c>
      <c r="O20" s="75" t="s">
        <v>2099</v>
      </c>
      <c r="P20" s="77" t="s">
        <v>2129</v>
      </c>
    </row>
    <row r="21">
      <c r="A21" s="75" t="s">
        <v>2130</v>
      </c>
      <c r="B21" s="75">
        <v>2025.0</v>
      </c>
      <c r="C21" s="75" t="s">
        <v>2132</v>
      </c>
      <c r="D21" s="38" t="s">
        <v>2133</v>
      </c>
      <c r="F21" s="80" t="s">
        <v>2134</v>
      </c>
      <c r="G21" s="80" t="s">
        <v>2135</v>
      </c>
      <c r="H21" s="78"/>
      <c r="I21" s="80" t="s">
        <v>2136</v>
      </c>
      <c r="J21" s="80" t="s">
        <v>2137</v>
      </c>
      <c r="L21" s="75" t="s">
        <v>2138</v>
      </c>
      <c r="M21" s="75" t="s">
        <v>2139</v>
      </c>
      <c r="N21" s="75">
        <v>0.00399</v>
      </c>
      <c r="O21" s="75" t="s">
        <v>2099</v>
      </c>
      <c r="P21" s="77" t="s">
        <v>2140</v>
      </c>
    </row>
    <row r="22">
      <c r="A22" s="75" t="s">
        <v>2141</v>
      </c>
      <c r="B22" s="75">
        <v>2025.0</v>
      </c>
      <c r="C22" s="75" t="s">
        <v>2142</v>
      </c>
      <c r="D22" s="1" t="s">
        <v>2143</v>
      </c>
      <c r="F22" s="49">
        <v>91.2</v>
      </c>
      <c r="G22" s="49">
        <v>91.8</v>
      </c>
      <c r="H22" s="78"/>
      <c r="I22" s="49">
        <v>91.2</v>
      </c>
      <c r="J22" s="49">
        <v>91.5</v>
      </c>
      <c r="K22" s="1">
        <v>0.94</v>
      </c>
      <c r="L22" s="1" t="s">
        <v>2145</v>
      </c>
      <c r="M22" s="1" t="s">
        <v>2044</v>
      </c>
      <c r="O22" s="75" t="s">
        <v>2099</v>
      </c>
      <c r="P22" s="77" t="s">
        <v>2146</v>
      </c>
    </row>
    <row r="23">
      <c r="A23" s="1" t="s">
        <v>2147</v>
      </c>
      <c r="B23" s="75">
        <v>2024.0</v>
      </c>
      <c r="C23" s="75" t="s">
        <v>2148</v>
      </c>
      <c r="D23" s="1" t="s">
        <v>2149</v>
      </c>
      <c r="F23" s="49">
        <v>96.53</v>
      </c>
      <c r="G23" s="49">
        <v>91.7</v>
      </c>
      <c r="H23" s="49">
        <v>95.95</v>
      </c>
      <c r="I23" s="49">
        <v>97.79</v>
      </c>
      <c r="J23" s="49">
        <v>94.64</v>
      </c>
      <c r="M23" s="1" t="s">
        <v>1416</v>
      </c>
      <c r="N23" s="1" t="s">
        <v>2044</v>
      </c>
      <c r="O23" s="1" t="s">
        <v>2099</v>
      </c>
      <c r="P23" s="36" t="s">
        <v>2151</v>
      </c>
    </row>
    <row r="24">
      <c r="A24" s="75" t="s">
        <v>2152</v>
      </c>
      <c r="B24" s="75">
        <v>2024.0</v>
      </c>
      <c r="C24" s="75" t="s">
        <v>2153</v>
      </c>
      <c r="D24" s="1" t="s">
        <v>2154</v>
      </c>
      <c r="F24" s="49">
        <v>96.06</v>
      </c>
      <c r="G24" s="49">
        <v>94.85</v>
      </c>
      <c r="H24" s="78"/>
      <c r="I24" s="49">
        <v>98.02</v>
      </c>
      <c r="J24" s="49">
        <v>96.28</v>
      </c>
      <c r="L24" s="1" t="s">
        <v>1416</v>
      </c>
      <c r="M24" s="1" t="s">
        <v>2139</v>
      </c>
      <c r="O24" s="75" t="s">
        <v>2099</v>
      </c>
      <c r="P24" s="77" t="s">
        <v>2156</v>
      </c>
    </row>
    <row r="25">
      <c r="A25" s="75" t="s">
        <v>2157</v>
      </c>
      <c r="B25" s="75">
        <v>2025.0</v>
      </c>
      <c r="C25" s="75" t="s">
        <v>2158</v>
      </c>
      <c r="D25" s="1" t="s">
        <v>2159</v>
      </c>
      <c r="F25" s="49" t="s">
        <v>2160</v>
      </c>
      <c r="G25" s="49" t="s">
        <v>2161</v>
      </c>
      <c r="H25" s="78"/>
      <c r="I25" s="49" t="s">
        <v>2160</v>
      </c>
      <c r="J25" s="49" t="s">
        <v>2162</v>
      </c>
      <c r="L25" s="1" t="s">
        <v>2163</v>
      </c>
      <c r="M25" s="1" t="s">
        <v>2044</v>
      </c>
      <c r="O25" s="75" t="s">
        <v>2099</v>
      </c>
      <c r="P25" s="77" t="s">
        <v>2146</v>
      </c>
    </row>
    <row r="26">
      <c r="A26" s="75" t="s">
        <v>2165</v>
      </c>
      <c r="B26" s="75">
        <v>2025.0</v>
      </c>
      <c r="C26" s="75" t="s">
        <v>2166</v>
      </c>
      <c r="D26" s="1" t="s">
        <v>1955</v>
      </c>
      <c r="F26" s="49">
        <v>92.0</v>
      </c>
      <c r="G26" s="49">
        <v>92.0</v>
      </c>
      <c r="H26" s="78"/>
      <c r="I26" s="49">
        <v>92.0</v>
      </c>
      <c r="J26" s="49">
        <v>92.0</v>
      </c>
      <c r="M26" s="1" t="s">
        <v>1416</v>
      </c>
      <c r="N26" s="1" t="s">
        <v>2044</v>
      </c>
      <c r="O26" s="75" t="s">
        <v>2099</v>
      </c>
      <c r="P26" s="36" t="s">
        <v>2151</v>
      </c>
    </row>
    <row r="27">
      <c r="A27" s="75" t="s">
        <v>2168</v>
      </c>
      <c r="B27" s="75">
        <v>2025.0</v>
      </c>
      <c r="C27" s="75" t="s">
        <v>2169</v>
      </c>
      <c r="D27" s="1" t="s">
        <v>2170</v>
      </c>
      <c r="F27" s="49" t="s">
        <v>2171</v>
      </c>
      <c r="G27" s="49" t="s">
        <v>2172</v>
      </c>
      <c r="H27" s="78"/>
      <c r="I27" s="49" t="s">
        <v>2172</v>
      </c>
      <c r="J27" s="49" t="s">
        <v>2172</v>
      </c>
      <c r="K27" s="1" t="s">
        <v>2173</v>
      </c>
      <c r="L27" s="1" t="s">
        <v>1416</v>
      </c>
      <c r="M27" s="1" t="s">
        <v>2044</v>
      </c>
      <c r="O27" s="75" t="s">
        <v>2099</v>
      </c>
      <c r="P27" s="77" t="s">
        <v>2174</v>
      </c>
    </row>
    <row r="28">
      <c r="A28" s="75" t="s">
        <v>2175</v>
      </c>
      <c r="B28" s="75">
        <v>2024.0</v>
      </c>
      <c r="C28" s="75" t="s">
        <v>2176</v>
      </c>
      <c r="D28" s="1" t="s">
        <v>2109</v>
      </c>
      <c r="F28" s="49">
        <v>94.71</v>
      </c>
      <c r="G28" s="49">
        <v>93.41</v>
      </c>
      <c r="H28" s="78"/>
      <c r="I28" s="49">
        <v>92.36</v>
      </c>
      <c r="J28" s="49">
        <v>93.46</v>
      </c>
      <c r="L28" s="1" t="s">
        <v>2178</v>
      </c>
      <c r="M28" s="1" t="s">
        <v>2179</v>
      </c>
      <c r="N28" s="1">
        <v>0.0105</v>
      </c>
      <c r="O28" s="75" t="s">
        <v>2180</v>
      </c>
      <c r="P28" s="77" t="s">
        <v>2140</v>
      </c>
    </row>
    <row r="29">
      <c r="A29" s="75" t="s">
        <v>2181</v>
      </c>
      <c r="B29" s="75">
        <v>2024.0</v>
      </c>
      <c r="C29" s="75" t="s">
        <v>2182</v>
      </c>
      <c r="D29" s="38" t="s">
        <v>2183</v>
      </c>
      <c r="E29" s="53"/>
      <c r="F29" s="80" t="s">
        <v>2184</v>
      </c>
      <c r="G29" s="80" t="s">
        <v>2184</v>
      </c>
      <c r="H29" s="81"/>
      <c r="I29" s="80" t="s">
        <v>2184</v>
      </c>
      <c r="J29" s="80" t="s">
        <v>2184</v>
      </c>
      <c r="K29" s="53"/>
      <c r="L29" s="53"/>
      <c r="M29" s="53"/>
      <c r="N29" s="53"/>
      <c r="O29" s="75" t="s">
        <v>2180</v>
      </c>
      <c r="P29" s="77" t="s">
        <v>2185</v>
      </c>
      <c r="Q29" s="53"/>
      <c r="R29" s="53"/>
      <c r="S29" s="53"/>
      <c r="T29" s="53"/>
      <c r="U29" s="53"/>
      <c r="V29" s="53"/>
      <c r="W29" s="53"/>
      <c r="X29" s="53"/>
      <c r="Y29" s="53"/>
      <c r="Z29" s="53"/>
      <c r="AA29" s="53"/>
      <c r="AB29" s="53"/>
      <c r="AC29" s="53"/>
      <c r="AD29" s="53"/>
      <c r="AE29" s="53"/>
      <c r="AF29" s="53"/>
    </row>
    <row r="30">
      <c r="A30" s="75" t="s">
        <v>1961</v>
      </c>
      <c r="B30" s="75">
        <v>2023.0</v>
      </c>
      <c r="C30" s="75" t="s">
        <v>2189</v>
      </c>
      <c r="D30" s="1" t="s">
        <v>2190</v>
      </c>
      <c r="F30" s="49">
        <v>95.3</v>
      </c>
      <c r="G30" s="49">
        <v>98.8</v>
      </c>
      <c r="H30" s="78"/>
      <c r="I30" s="49">
        <v>99.4</v>
      </c>
      <c r="J30" s="49">
        <v>92.5</v>
      </c>
      <c r="M30" s="1" t="s">
        <v>2191</v>
      </c>
      <c r="N30" s="1">
        <v>0.0592</v>
      </c>
      <c r="O30" s="75" t="s">
        <v>2193</v>
      </c>
      <c r="P30" s="77" t="s">
        <v>2194</v>
      </c>
    </row>
    <row r="31">
      <c r="A31" s="75" t="s">
        <v>2195</v>
      </c>
      <c r="B31" s="75">
        <v>2024.0</v>
      </c>
      <c r="C31" s="75" t="s">
        <v>2196</v>
      </c>
      <c r="D31" s="38" t="s">
        <v>2197</v>
      </c>
      <c r="F31" s="80" t="s">
        <v>2198</v>
      </c>
      <c r="G31" s="80" t="s">
        <v>2199</v>
      </c>
      <c r="H31" s="80" t="s">
        <v>2200</v>
      </c>
      <c r="I31" s="80" t="s">
        <v>2201</v>
      </c>
      <c r="J31" s="80" t="s">
        <v>2202</v>
      </c>
      <c r="K31" s="80" t="s">
        <v>2203</v>
      </c>
      <c r="L31" s="75" t="s">
        <v>2204</v>
      </c>
      <c r="M31" s="1" t="s">
        <v>2205</v>
      </c>
      <c r="O31" s="75" t="s">
        <v>2193</v>
      </c>
      <c r="P31" s="77" t="s">
        <v>2051</v>
      </c>
    </row>
    <row r="32">
      <c r="A32" s="75" t="s">
        <v>2206</v>
      </c>
      <c r="B32" s="75">
        <v>2024.0</v>
      </c>
      <c r="C32" s="75" t="s">
        <v>2207</v>
      </c>
      <c r="D32" s="38" t="s">
        <v>2208</v>
      </c>
      <c r="F32" s="80" t="s">
        <v>2210</v>
      </c>
      <c r="G32" s="80" t="s">
        <v>2211</v>
      </c>
      <c r="H32" s="78"/>
      <c r="I32" s="80" t="s">
        <v>2212</v>
      </c>
      <c r="J32" s="80" t="s">
        <v>2213</v>
      </c>
      <c r="L32" s="1" t="s">
        <v>2214</v>
      </c>
      <c r="O32" s="75" t="s">
        <v>2193</v>
      </c>
      <c r="P32" s="77" t="s">
        <v>2001</v>
      </c>
    </row>
    <row r="33">
      <c r="A33" s="75" t="s">
        <v>2215</v>
      </c>
      <c r="B33" s="75">
        <v>2024.0</v>
      </c>
      <c r="C33" s="75" t="s">
        <v>2216</v>
      </c>
      <c r="D33" s="1" t="s">
        <v>2217</v>
      </c>
      <c r="F33" s="78"/>
      <c r="G33" s="49">
        <v>0.77</v>
      </c>
      <c r="H33" s="78"/>
      <c r="I33" s="49">
        <v>0.78</v>
      </c>
      <c r="J33" s="49">
        <v>0.77</v>
      </c>
      <c r="L33" s="1" t="s">
        <v>2220</v>
      </c>
      <c r="M33" s="1" t="s">
        <v>2044</v>
      </c>
      <c r="O33" s="75" t="s">
        <v>2193</v>
      </c>
      <c r="P33" s="36" t="s">
        <v>2051</v>
      </c>
    </row>
    <row r="34">
      <c r="A34" s="75" t="s">
        <v>2222</v>
      </c>
      <c r="B34" s="75">
        <v>2023.0</v>
      </c>
      <c r="C34" s="75" t="s">
        <v>2223</v>
      </c>
      <c r="D34" s="1" t="s">
        <v>1484</v>
      </c>
      <c r="F34" s="78"/>
      <c r="G34" s="78"/>
      <c r="H34" s="78"/>
      <c r="I34" s="78"/>
      <c r="J34" s="78"/>
      <c r="K34" s="1">
        <v>0.92</v>
      </c>
      <c r="O34" s="75" t="s">
        <v>2224</v>
      </c>
      <c r="P34" s="77" t="s">
        <v>2225</v>
      </c>
    </row>
    <row r="35">
      <c r="A35" s="75" t="s">
        <v>2227</v>
      </c>
      <c r="B35" s="75">
        <v>2025.0</v>
      </c>
      <c r="C35" s="75" t="s">
        <v>2228</v>
      </c>
      <c r="D35" s="1" t="s">
        <v>2229</v>
      </c>
      <c r="F35" s="49" t="s">
        <v>2230</v>
      </c>
      <c r="G35" s="49" t="s">
        <v>2231</v>
      </c>
      <c r="H35" s="78"/>
      <c r="I35" s="49" t="s">
        <v>2232</v>
      </c>
      <c r="J35" s="1" t="s">
        <v>2233</v>
      </c>
      <c r="M35" s="1" t="s">
        <v>2044</v>
      </c>
      <c r="N35" s="1" t="s">
        <v>2044</v>
      </c>
      <c r="O35" s="75" t="s">
        <v>2224</v>
      </c>
      <c r="P35" s="36" t="s">
        <v>2234</v>
      </c>
    </row>
    <row r="36">
      <c r="A36" s="75" t="s">
        <v>2235</v>
      </c>
      <c r="B36" s="75">
        <v>2023.0</v>
      </c>
      <c r="C36" s="75" t="s">
        <v>2236</v>
      </c>
      <c r="D36" s="1" t="s">
        <v>2237</v>
      </c>
      <c r="F36" s="49">
        <v>91.0</v>
      </c>
      <c r="G36" s="49">
        <v>90.0</v>
      </c>
      <c r="H36" s="78"/>
      <c r="I36" s="49">
        <v>99.0</v>
      </c>
      <c r="J36" s="49">
        <v>93.0</v>
      </c>
      <c r="K36" s="1">
        <v>99.0</v>
      </c>
      <c r="M36" s="1" t="s">
        <v>2044</v>
      </c>
      <c r="O36" s="75" t="s">
        <v>2224</v>
      </c>
      <c r="P36" s="77" t="s">
        <v>2001</v>
      </c>
    </row>
    <row r="37">
      <c r="A37" s="75" t="s">
        <v>2239</v>
      </c>
      <c r="B37" s="75">
        <v>2025.0</v>
      </c>
      <c r="C37" s="75" t="s">
        <v>2240</v>
      </c>
      <c r="D37" s="1" t="s">
        <v>2004</v>
      </c>
      <c r="F37" s="49">
        <v>98.25</v>
      </c>
      <c r="G37" s="49">
        <v>99.07</v>
      </c>
      <c r="H37" s="49">
        <v>98.41</v>
      </c>
      <c r="I37" s="49">
        <v>98.15</v>
      </c>
      <c r="J37" s="49">
        <v>98.6</v>
      </c>
      <c r="M37" s="1" t="s">
        <v>2044</v>
      </c>
      <c r="N37" s="1" t="s">
        <v>2044</v>
      </c>
      <c r="O37" s="75" t="s">
        <v>2241</v>
      </c>
      <c r="P37" s="36" t="s">
        <v>2005</v>
      </c>
    </row>
    <row r="38">
      <c r="A38" s="75" t="s">
        <v>2242</v>
      </c>
      <c r="B38" s="75">
        <v>2025.0</v>
      </c>
      <c r="C38" s="75" t="s">
        <v>2243</v>
      </c>
      <c r="D38" s="1" t="s">
        <v>1414</v>
      </c>
      <c r="F38" s="49">
        <v>99.62</v>
      </c>
      <c r="G38" s="49">
        <v>99.63</v>
      </c>
      <c r="H38" s="78"/>
      <c r="I38" s="49">
        <v>99.63</v>
      </c>
      <c r="J38" s="49">
        <v>99.63</v>
      </c>
      <c r="K38" s="1">
        <v>99.72</v>
      </c>
      <c r="L38" s="1" t="s">
        <v>1416</v>
      </c>
      <c r="M38" s="1" t="s">
        <v>2044</v>
      </c>
      <c r="O38" s="75" t="s">
        <v>2241</v>
      </c>
      <c r="P38" s="77" t="s">
        <v>2001</v>
      </c>
    </row>
    <row r="39">
      <c r="A39" s="75" t="s">
        <v>2244</v>
      </c>
      <c r="B39" s="75">
        <v>2025.0</v>
      </c>
      <c r="C39" s="75" t="s">
        <v>2245</v>
      </c>
      <c r="D39" s="1" t="s">
        <v>2079</v>
      </c>
      <c r="F39" s="49">
        <v>95.24</v>
      </c>
      <c r="G39" s="78"/>
      <c r="H39" s="78"/>
      <c r="I39" s="78"/>
      <c r="N39" s="49">
        <v>5.87</v>
      </c>
      <c r="O39" s="1" t="s">
        <v>2241</v>
      </c>
      <c r="P39" s="36" t="s">
        <v>2001</v>
      </c>
    </row>
    <row r="40">
      <c r="A40" s="75" t="s">
        <v>2246</v>
      </c>
      <c r="B40" s="75">
        <v>2025.0</v>
      </c>
      <c r="C40" s="75" t="s">
        <v>2247</v>
      </c>
      <c r="D40" s="1" t="s">
        <v>1414</v>
      </c>
      <c r="F40" s="49">
        <v>91.97</v>
      </c>
      <c r="G40" s="49">
        <v>90.79</v>
      </c>
      <c r="H40" s="78"/>
      <c r="I40" s="49">
        <v>93.52</v>
      </c>
      <c r="J40" s="49">
        <v>92.09</v>
      </c>
      <c r="L40" s="1" t="s">
        <v>1416</v>
      </c>
      <c r="M40" s="1" t="s">
        <v>2044</v>
      </c>
      <c r="O40" s="75" t="s">
        <v>2241</v>
      </c>
      <c r="P40" s="77" t="s">
        <v>2001</v>
      </c>
    </row>
    <row r="41">
      <c r="A41" s="38" t="s">
        <v>2249</v>
      </c>
      <c r="B41" s="75">
        <v>2025.0</v>
      </c>
      <c r="C41" s="75" t="s">
        <v>2250</v>
      </c>
      <c r="D41" s="1" t="s">
        <v>2251</v>
      </c>
      <c r="F41" s="49">
        <v>95.32</v>
      </c>
      <c r="G41" s="78"/>
      <c r="H41" s="78"/>
      <c r="I41" s="78"/>
      <c r="M41" s="49" t="s">
        <v>2252</v>
      </c>
      <c r="N41" s="1" t="s">
        <v>2253</v>
      </c>
      <c r="O41" s="1" t="s">
        <v>2254</v>
      </c>
      <c r="P41" s="36" t="s">
        <v>2255</v>
      </c>
    </row>
    <row r="42">
      <c r="A42" s="75" t="s">
        <v>2256</v>
      </c>
      <c r="B42" s="75">
        <v>2025.0</v>
      </c>
      <c r="C42" s="75" t="s">
        <v>2257</v>
      </c>
      <c r="D42" s="1" t="s">
        <v>2217</v>
      </c>
      <c r="F42" s="49">
        <v>96.47</v>
      </c>
      <c r="G42" s="49">
        <v>97.4</v>
      </c>
      <c r="H42" s="78"/>
      <c r="I42" s="49">
        <v>94.94</v>
      </c>
      <c r="J42" s="78"/>
      <c r="K42" s="1">
        <v>98.23</v>
      </c>
      <c r="L42" s="1" t="s">
        <v>2260</v>
      </c>
      <c r="M42" s="1" t="s">
        <v>2261</v>
      </c>
      <c r="N42" s="1" t="s">
        <v>2262</v>
      </c>
      <c r="O42" s="75" t="s">
        <v>2254</v>
      </c>
      <c r="P42" s="77" t="s">
        <v>2263</v>
      </c>
    </row>
    <row r="43">
      <c r="A43" s="75" t="s">
        <v>2264</v>
      </c>
      <c r="B43" s="75">
        <v>2025.0</v>
      </c>
      <c r="C43" s="75" t="s">
        <v>2265</v>
      </c>
      <c r="D43" s="1" t="s">
        <v>2267</v>
      </c>
      <c r="F43" s="49">
        <v>99.69</v>
      </c>
      <c r="G43" s="78"/>
      <c r="H43" s="78"/>
      <c r="I43" s="78"/>
      <c r="J43" s="78"/>
      <c r="M43" s="1" t="s">
        <v>2269</v>
      </c>
      <c r="N43" s="1" t="s">
        <v>2044</v>
      </c>
      <c r="O43" s="75" t="s">
        <v>2270</v>
      </c>
      <c r="P43" s="36" t="s">
        <v>2146</v>
      </c>
    </row>
    <row r="44">
      <c r="A44" s="75" t="s">
        <v>2272</v>
      </c>
      <c r="B44" s="75">
        <v>2024.0</v>
      </c>
      <c r="C44" s="75" t="s">
        <v>2274</v>
      </c>
      <c r="D44" s="1" t="s">
        <v>2276</v>
      </c>
      <c r="F44" s="49">
        <v>98.0</v>
      </c>
      <c r="G44" s="49">
        <v>98.0</v>
      </c>
      <c r="H44" s="78"/>
      <c r="I44" s="49">
        <v>98.0</v>
      </c>
      <c r="J44" s="49">
        <v>98.0</v>
      </c>
      <c r="M44" s="1" t="s">
        <v>1416</v>
      </c>
      <c r="N44" s="1" t="s">
        <v>2044</v>
      </c>
      <c r="O44" s="75" t="s">
        <v>2278</v>
      </c>
      <c r="P44" s="36" t="s">
        <v>2005</v>
      </c>
    </row>
    <row r="45">
      <c r="A45" s="75" t="s">
        <v>2281</v>
      </c>
      <c r="B45" s="75">
        <v>2025.0</v>
      </c>
      <c r="C45" s="75" t="s">
        <v>2282</v>
      </c>
      <c r="D45" s="1" t="s">
        <v>2284</v>
      </c>
      <c r="F45" s="49" t="s">
        <v>2285</v>
      </c>
      <c r="G45" s="49" t="s">
        <v>2287</v>
      </c>
      <c r="H45" s="49" t="s">
        <v>2288</v>
      </c>
      <c r="I45" s="49" t="s">
        <v>2289</v>
      </c>
      <c r="J45" s="49" t="s">
        <v>2290</v>
      </c>
      <c r="K45" s="1" t="s">
        <v>2291</v>
      </c>
      <c r="L45" s="1" t="s">
        <v>1416</v>
      </c>
      <c r="M45" s="1" t="s">
        <v>2044</v>
      </c>
      <c r="O45" s="75" t="s">
        <v>2278</v>
      </c>
      <c r="P45" s="77" t="s">
        <v>2294</v>
      </c>
    </row>
    <row r="46">
      <c r="A46" s="75" t="s">
        <v>2296</v>
      </c>
      <c r="B46" s="75">
        <v>2025.0</v>
      </c>
      <c r="C46" s="75" t="s">
        <v>2297</v>
      </c>
      <c r="D46" s="1" t="s">
        <v>2299</v>
      </c>
      <c r="E46" s="1" t="s">
        <v>2302</v>
      </c>
      <c r="F46" s="49" t="s">
        <v>2303</v>
      </c>
      <c r="G46" s="78"/>
      <c r="H46" s="49" t="s">
        <v>2304</v>
      </c>
      <c r="I46" s="78"/>
      <c r="J46" s="78"/>
      <c r="K46" s="1" t="s">
        <v>2307</v>
      </c>
      <c r="L46" s="1" t="s">
        <v>1416</v>
      </c>
      <c r="M46" s="1" t="s">
        <v>2044</v>
      </c>
      <c r="O46" s="75" t="s">
        <v>2309</v>
      </c>
      <c r="P46" s="77" t="s">
        <v>2101</v>
      </c>
    </row>
    <row r="47">
      <c r="A47" s="1" t="s">
        <v>2311</v>
      </c>
      <c r="B47" s="75">
        <v>2026.0</v>
      </c>
      <c r="C47" s="75" t="s">
        <v>2312</v>
      </c>
      <c r="D47" s="1" t="s">
        <v>2313</v>
      </c>
      <c r="F47" s="49" t="s">
        <v>2315</v>
      </c>
      <c r="G47" s="49" t="s">
        <v>2318</v>
      </c>
      <c r="H47" s="78"/>
      <c r="I47" s="49" t="s">
        <v>2319</v>
      </c>
      <c r="J47" s="49" t="s">
        <v>2320</v>
      </c>
      <c r="L47" s="1" t="s">
        <v>2322</v>
      </c>
      <c r="M47" s="1" t="s">
        <v>2323</v>
      </c>
      <c r="N47" s="1">
        <v>0.0116</v>
      </c>
      <c r="O47" s="75" t="s">
        <v>2325</v>
      </c>
      <c r="P47" s="77" t="s">
        <v>2326</v>
      </c>
    </row>
    <row r="48">
      <c r="A48" s="75" t="s">
        <v>2327</v>
      </c>
      <c r="B48" s="75">
        <v>2025.0</v>
      </c>
      <c r="C48" s="75" t="s">
        <v>2330</v>
      </c>
      <c r="D48" s="1" t="s">
        <v>2332</v>
      </c>
      <c r="F48" s="49" t="s">
        <v>2333</v>
      </c>
      <c r="G48" s="80" t="s">
        <v>2334</v>
      </c>
      <c r="H48" s="78"/>
      <c r="I48" s="80" t="s">
        <v>2336</v>
      </c>
      <c r="J48" s="49" t="s">
        <v>2337</v>
      </c>
      <c r="K48" s="1" t="s">
        <v>2340</v>
      </c>
      <c r="L48" s="1" t="s">
        <v>1416</v>
      </c>
      <c r="M48" s="1" t="s">
        <v>2044</v>
      </c>
      <c r="O48" s="75" t="s">
        <v>2342</v>
      </c>
      <c r="P48" s="77" t="s">
        <v>2343</v>
      </c>
    </row>
    <row r="49">
      <c r="A49" s="1" t="s">
        <v>2345</v>
      </c>
      <c r="B49" s="75">
        <v>2024.0</v>
      </c>
      <c r="C49" s="75" t="s">
        <v>2347</v>
      </c>
      <c r="D49" s="1" t="s">
        <v>2109</v>
      </c>
      <c r="F49" s="49">
        <v>98.25</v>
      </c>
      <c r="G49" s="49">
        <v>98.99</v>
      </c>
      <c r="H49" s="49">
        <v>98.995</v>
      </c>
      <c r="I49" s="49">
        <v>97.51</v>
      </c>
      <c r="J49" s="49">
        <v>98.25</v>
      </c>
      <c r="M49" s="1" t="s">
        <v>1416</v>
      </c>
      <c r="N49" s="1" t="s">
        <v>2044</v>
      </c>
      <c r="O49" s="75" t="s">
        <v>2350</v>
      </c>
      <c r="P49" s="36" t="s">
        <v>2001</v>
      </c>
    </row>
    <row r="50">
      <c r="A50" s="75" t="s">
        <v>2352</v>
      </c>
      <c r="B50" s="75">
        <v>2025.0</v>
      </c>
      <c r="C50" s="75" t="s">
        <v>2354</v>
      </c>
      <c r="D50" s="1" t="s">
        <v>2355</v>
      </c>
      <c r="F50" s="49" t="s">
        <v>2356</v>
      </c>
      <c r="G50" s="49" t="s">
        <v>2357</v>
      </c>
      <c r="H50" s="49" t="s">
        <v>2184</v>
      </c>
      <c r="I50" s="49" t="s">
        <v>2359</v>
      </c>
      <c r="J50" s="49" t="s">
        <v>2361</v>
      </c>
      <c r="L50" s="1" t="s">
        <v>2362</v>
      </c>
      <c r="M50" s="1" t="s">
        <v>2363</v>
      </c>
      <c r="N50" s="1">
        <v>0.002</v>
      </c>
      <c r="O50" s="75" t="s">
        <v>2365</v>
      </c>
      <c r="P50" s="77" t="s">
        <v>2366</v>
      </c>
    </row>
    <row r="51">
      <c r="A51" s="75" t="s">
        <v>1481</v>
      </c>
      <c r="B51" s="75">
        <v>2020.0</v>
      </c>
      <c r="C51" s="75" t="s">
        <v>2369</v>
      </c>
      <c r="D51" s="1" t="s">
        <v>1484</v>
      </c>
      <c r="E51" s="1">
        <v>140.0</v>
      </c>
      <c r="F51" s="78"/>
      <c r="G51" s="78"/>
      <c r="H51" s="78"/>
      <c r="I51" s="78"/>
      <c r="J51" s="78"/>
      <c r="K51" s="1">
        <v>0.9189</v>
      </c>
      <c r="L51" s="1" t="s">
        <v>2373</v>
      </c>
      <c r="M51" s="1" t="s">
        <v>2375</v>
      </c>
      <c r="O51" s="75" t="s">
        <v>2376</v>
      </c>
      <c r="P51" s="77" t="s">
        <v>2378</v>
      </c>
    </row>
    <row r="52">
      <c r="A52" s="75" t="s">
        <v>2346</v>
      </c>
      <c r="B52" s="75">
        <v>2024.0</v>
      </c>
      <c r="C52" s="75" t="s">
        <v>2380</v>
      </c>
      <c r="D52" s="1" t="s">
        <v>2381</v>
      </c>
      <c r="F52" s="49" t="s">
        <v>2384</v>
      </c>
      <c r="G52" s="49" t="s">
        <v>2385</v>
      </c>
      <c r="H52" s="78"/>
      <c r="I52" s="49" t="s">
        <v>2387</v>
      </c>
      <c r="J52" s="49" t="s">
        <v>2385</v>
      </c>
      <c r="L52" s="1">
        <v>1837.0</v>
      </c>
      <c r="M52" s="1" t="s">
        <v>2389</v>
      </c>
      <c r="N52" s="1" t="s">
        <v>2390</v>
      </c>
      <c r="O52" s="75" t="s">
        <v>2391</v>
      </c>
      <c r="P52" s="77" t="s">
        <v>2090</v>
      </c>
    </row>
    <row r="53">
      <c r="A53" s="83"/>
      <c r="B53" s="83"/>
      <c r="C53" s="83"/>
      <c r="F53" s="78"/>
      <c r="G53" s="78"/>
      <c r="H53" s="78"/>
      <c r="I53" s="78"/>
      <c r="J53" s="78"/>
      <c r="O53" s="83"/>
      <c r="P53" s="84"/>
    </row>
    <row r="54">
      <c r="A54" s="83"/>
      <c r="B54" s="83"/>
      <c r="C54" s="83"/>
      <c r="F54" s="78"/>
      <c r="G54" s="78"/>
      <c r="H54" s="78"/>
      <c r="I54" s="78"/>
      <c r="J54" s="78"/>
      <c r="O54" s="83"/>
      <c r="P54" s="84"/>
    </row>
    <row r="55">
      <c r="A55" s="83"/>
      <c r="B55" s="83"/>
      <c r="C55" s="83"/>
      <c r="F55" s="78"/>
      <c r="G55" s="78"/>
      <c r="H55" s="78"/>
      <c r="I55" s="78"/>
      <c r="J55" s="78"/>
      <c r="O55" s="83"/>
      <c r="P55" s="84"/>
    </row>
    <row r="56">
      <c r="A56" s="83"/>
      <c r="B56" s="83"/>
      <c r="C56" s="83"/>
      <c r="F56" s="78"/>
      <c r="G56" s="78"/>
      <c r="H56" s="78"/>
      <c r="I56" s="78"/>
      <c r="J56" s="78"/>
      <c r="O56" s="83"/>
      <c r="P56" s="84"/>
    </row>
    <row r="57">
      <c r="A57" s="83"/>
      <c r="B57" s="83"/>
      <c r="C57" s="83"/>
      <c r="F57" s="78"/>
      <c r="G57" s="78"/>
      <c r="H57" s="78"/>
      <c r="I57" s="78"/>
      <c r="J57" s="78"/>
      <c r="O57" s="83"/>
      <c r="P57" s="84"/>
    </row>
    <row r="58">
      <c r="A58" s="83"/>
      <c r="B58" s="83"/>
      <c r="C58" s="83"/>
      <c r="F58" s="78"/>
      <c r="G58" s="78"/>
      <c r="H58" s="78"/>
      <c r="I58" s="78"/>
      <c r="J58" s="78"/>
      <c r="O58" s="83"/>
      <c r="P58" s="84"/>
    </row>
    <row r="59">
      <c r="A59" s="83"/>
      <c r="B59" s="83"/>
      <c r="C59" s="83"/>
      <c r="F59" s="78"/>
      <c r="G59" s="78"/>
      <c r="H59" s="78"/>
      <c r="I59" s="78"/>
      <c r="J59" s="78"/>
      <c r="O59" s="83"/>
      <c r="P59" s="84"/>
    </row>
    <row r="60">
      <c r="A60" s="83"/>
      <c r="B60" s="83"/>
      <c r="C60" s="83"/>
      <c r="F60" s="78"/>
      <c r="G60" s="78"/>
      <c r="H60" s="78"/>
      <c r="I60" s="78"/>
      <c r="J60" s="78"/>
      <c r="O60" s="83"/>
      <c r="P60" s="84"/>
    </row>
    <row r="61">
      <c r="A61" s="83"/>
      <c r="B61" s="83"/>
      <c r="C61" s="83"/>
      <c r="F61" s="78"/>
      <c r="G61" s="78"/>
      <c r="H61" s="78"/>
      <c r="I61" s="78"/>
      <c r="J61" s="78"/>
      <c r="O61" s="83"/>
      <c r="P61" s="84"/>
    </row>
    <row r="62">
      <c r="A62" s="83"/>
      <c r="B62" s="83"/>
      <c r="C62" s="83"/>
      <c r="F62" s="78"/>
      <c r="G62" s="78"/>
      <c r="H62" s="78"/>
      <c r="I62" s="78"/>
      <c r="J62" s="78"/>
      <c r="O62" s="83"/>
      <c r="P62" s="84"/>
    </row>
    <row r="63">
      <c r="A63" s="83"/>
      <c r="B63" s="83"/>
      <c r="C63" s="83"/>
      <c r="F63" s="78"/>
      <c r="G63" s="78"/>
      <c r="H63" s="78"/>
      <c r="I63" s="78"/>
      <c r="J63" s="78"/>
      <c r="O63" s="83"/>
      <c r="P63" s="84"/>
    </row>
    <row r="64">
      <c r="A64" s="83"/>
      <c r="B64" s="83"/>
      <c r="C64" s="83"/>
      <c r="F64" s="78"/>
      <c r="G64" s="78"/>
      <c r="H64" s="78"/>
      <c r="I64" s="78"/>
      <c r="J64" s="78"/>
      <c r="O64" s="83"/>
      <c r="P64" s="84"/>
    </row>
    <row r="65">
      <c r="A65" s="83"/>
      <c r="B65" s="83"/>
      <c r="C65" s="83"/>
      <c r="F65" s="78"/>
      <c r="G65" s="78"/>
      <c r="H65" s="78"/>
      <c r="I65" s="78"/>
      <c r="J65" s="78"/>
      <c r="O65" s="83"/>
      <c r="P65" s="84"/>
    </row>
    <row r="66">
      <c r="A66" s="83"/>
      <c r="B66" s="83"/>
      <c r="C66" s="83"/>
      <c r="F66" s="78"/>
      <c r="G66" s="78"/>
      <c r="H66" s="78"/>
      <c r="I66" s="78"/>
      <c r="J66" s="78"/>
      <c r="O66" s="83"/>
      <c r="P66" s="84"/>
    </row>
    <row r="67">
      <c r="A67" s="83"/>
      <c r="B67" s="83"/>
      <c r="C67" s="83"/>
      <c r="F67" s="78"/>
      <c r="G67" s="78"/>
      <c r="H67" s="78"/>
      <c r="I67" s="78"/>
      <c r="J67" s="78"/>
      <c r="O67" s="83"/>
      <c r="P67" s="84"/>
    </row>
    <row r="68">
      <c r="A68" s="83"/>
      <c r="B68" s="83"/>
      <c r="C68" s="83"/>
      <c r="F68" s="78"/>
      <c r="G68" s="78"/>
      <c r="H68" s="78"/>
      <c r="I68" s="78"/>
      <c r="J68" s="78"/>
      <c r="O68" s="83"/>
      <c r="P68" s="84"/>
    </row>
    <row r="69">
      <c r="A69" s="83"/>
      <c r="B69" s="83"/>
      <c r="C69" s="83"/>
      <c r="F69" s="78"/>
      <c r="G69" s="78"/>
      <c r="H69" s="78"/>
      <c r="I69" s="78"/>
      <c r="J69" s="78"/>
      <c r="O69" s="83"/>
      <c r="P69" s="84"/>
    </row>
    <row r="70">
      <c r="A70" s="83"/>
      <c r="B70" s="83"/>
      <c r="C70" s="83"/>
      <c r="F70" s="78"/>
      <c r="G70" s="78"/>
      <c r="H70" s="78"/>
      <c r="I70" s="78"/>
      <c r="J70" s="78"/>
      <c r="O70" s="83"/>
      <c r="P70" s="84"/>
    </row>
    <row r="71">
      <c r="A71" s="83"/>
      <c r="B71" s="83"/>
      <c r="C71" s="83"/>
      <c r="F71" s="78"/>
      <c r="G71" s="78"/>
      <c r="H71" s="78"/>
      <c r="I71" s="78"/>
      <c r="J71" s="78"/>
      <c r="O71" s="83"/>
      <c r="P71" s="84"/>
    </row>
    <row r="72">
      <c r="A72" s="83"/>
      <c r="B72" s="83"/>
      <c r="C72" s="83"/>
      <c r="F72" s="78"/>
      <c r="G72" s="78"/>
      <c r="H72" s="78"/>
      <c r="I72" s="78"/>
      <c r="J72" s="78"/>
      <c r="O72" s="83"/>
      <c r="P72" s="84"/>
    </row>
    <row r="73">
      <c r="A73" s="83"/>
      <c r="B73" s="83"/>
      <c r="C73" s="83"/>
      <c r="F73" s="78"/>
      <c r="G73" s="78"/>
      <c r="H73" s="78"/>
      <c r="I73" s="78"/>
      <c r="J73" s="78"/>
      <c r="O73" s="83"/>
      <c r="P73" s="84"/>
    </row>
    <row r="74">
      <c r="A74" s="83"/>
      <c r="B74" s="83"/>
      <c r="C74" s="83"/>
      <c r="F74" s="78"/>
      <c r="G74" s="78"/>
      <c r="H74" s="78"/>
      <c r="I74" s="78"/>
      <c r="J74" s="78"/>
      <c r="O74" s="83"/>
      <c r="P74" s="84"/>
    </row>
    <row r="75">
      <c r="A75" s="83"/>
      <c r="B75" s="83"/>
      <c r="C75" s="83"/>
      <c r="F75" s="78"/>
      <c r="G75" s="78"/>
      <c r="H75" s="78"/>
      <c r="I75" s="78"/>
      <c r="J75" s="78"/>
      <c r="O75" s="83"/>
      <c r="P75" s="84"/>
    </row>
    <row r="76">
      <c r="A76" s="83"/>
      <c r="B76" s="83"/>
      <c r="C76" s="83"/>
      <c r="F76" s="78"/>
      <c r="G76" s="78"/>
      <c r="H76" s="78"/>
      <c r="I76" s="78"/>
      <c r="J76" s="78"/>
      <c r="O76" s="83"/>
      <c r="P76" s="84"/>
    </row>
    <row r="77">
      <c r="A77" s="83"/>
      <c r="B77" s="83"/>
      <c r="C77" s="83"/>
      <c r="F77" s="78"/>
      <c r="G77" s="78"/>
      <c r="H77" s="78"/>
      <c r="I77" s="78"/>
      <c r="J77" s="78"/>
      <c r="O77" s="83"/>
      <c r="P77" s="84"/>
    </row>
    <row r="78">
      <c r="A78" s="83"/>
      <c r="B78" s="83"/>
      <c r="C78" s="83"/>
      <c r="F78" s="78"/>
      <c r="G78" s="78"/>
      <c r="H78" s="78"/>
      <c r="I78" s="78"/>
      <c r="J78" s="78"/>
      <c r="O78" s="83"/>
      <c r="P78" s="84"/>
    </row>
    <row r="79">
      <c r="A79" s="83"/>
      <c r="B79" s="83"/>
      <c r="C79" s="83"/>
      <c r="F79" s="78"/>
      <c r="G79" s="78"/>
      <c r="H79" s="78"/>
      <c r="I79" s="78"/>
      <c r="J79" s="78"/>
      <c r="O79" s="83"/>
      <c r="P79" s="84"/>
    </row>
    <row r="80">
      <c r="A80" s="83"/>
      <c r="B80" s="83"/>
      <c r="C80" s="83"/>
      <c r="F80" s="78"/>
      <c r="G80" s="78"/>
      <c r="H80" s="78"/>
      <c r="I80" s="78"/>
      <c r="J80" s="78"/>
      <c r="O80" s="83"/>
      <c r="P80" s="84"/>
    </row>
    <row r="81">
      <c r="A81" s="83"/>
      <c r="B81" s="83"/>
      <c r="C81" s="83"/>
      <c r="F81" s="78"/>
      <c r="G81" s="78"/>
      <c r="H81" s="78"/>
      <c r="I81" s="78"/>
      <c r="J81" s="78"/>
      <c r="O81" s="83"/>
      <c r="P81" s="84"/>
    </row>
    <row r="82">
      <c r="A82" s="83"/>
      <c r="B82" s="83"/>
      <c r="C82" s="83"/>
      <c r="F82" s="78"/>
      <c r="G82" s="78"/>
      <c r="H82" s="78"/>
      <c r="I82" s="78"/>
      <c r="J82" s="78"/>
      <c r="O82" s="83"/>
      <c r="P82" s="84"/>
    </row>
    <row r="83">
      <c r="A83" s="83"/>
      <c r="B83" s="83"/>
      <c r="C83" s="83"/>
      <c r="F83" s="78"/>
      <c r="G83" s="78"/>
      <c r="H83" s="78"/>
      <c r="I83" s="78"/>
      <c r="J83" s="78"/>
      <c r="O83" s="83"/>
      <c r="P83" s="84"/>
    </row>
    <row r="84">
      <c r="A84" s="83"/>
      <c r="B84" s="83"/>
      <c r="C84" s="83"/>
      <c r="F84" s="78"/>
      <c r="G84" s="78"/>
      <c r="H84" s="78"/>
      <c r="I84" s="78"/>
      <c r="J84" s="78"/>
      <c r="O84" s="83"/>
      <c r="P84" s="84"/>
    </row>
    <row r="85">
      <c r="A85" s="83"/>
      <c r="B85" s="83"/>
      <c r="C85" s="83"/>
      <c r="F85" s="78"/>
      <c r="G85" s="78"/>
      <c r="H85" s="78"/>
      <c r="I85" s="78"/>
      <c r="J85" s="78"/>
      <c r="O85" s="83"/>
      <c r="P85" s="84"/>
    </row>
    <row r="86">
      <c r="A86" s="83"/>
      <c r="B86" s="83"/>
      <c r="C86" s="83"/>
      <c r="F86" s="78"/>
      <c r="G86" s="78"/>
      <c r="H86" s="78"/>
      <c r="I86" s="78"/>
      <c r="J86" s="78"/>
      <c r="O86" s="83"/>
      <c r="P86" s="84"/>
    </row>
    <row r="87">
      <c r="A87" s="83"/>
      <c r="B87" s="83"/>
      <c r="C87" s="83"/>
      <c r="F87" s="78"/>
      <c r="G87" s="78"/>
      <c r="H87" s="78"/>
      <c r="I87" s="78"/>
      <c r="J87" s="78"/>
      <c r="O87" s="83"/>
      <c r="P87" s="84"/>
    </row>
    <row r="88">
      <c r="A88" s="83"/>
      <c r="B88" s="83"/>
      <c r="C88" s="83"/>
      <c r="F88" s="78"/>
      <c r="G88" s="78"/>
      <c r="H88" s="78"/>
      <c r="I88" s="78"/>
      <c r="J88" s="78"/>
      <c r="O88" s="83"/>
      <c r="P88" s="84"/>
    </row>
    <row r="89">
      <c r="A89" s="83"/>
      <c r="B89" s="83"/>
      <c r="C89" s="83"/>
      <c r="F89" s="78"/>
      <c r="G89" s="78"/>
      <c r="H89" s="78"/>
      <c r="I89" s="78"/>
      <c r="J89" s="78"/>
      <c r="O89" s="83"/>
      <c r="P89" s="84"/>
    </row>
    <row r="90">
      <c r="A90" s="83"/>
      <c r="B90" s="83"/>
      <c r="C90" s="83"/>
      <c r="F90" s="78"/>
      <c r="G90" s="78"/>
      <c r="H90" s="78"/>
      <c r="I90" s="78"/>
      <c r="J90" s="78"/>
      <c r="O90" s="83"/>
      <c r="P90" s="84"/>
    </row>
    <row r="91">
      <c r="A91" s="83"/>
      <c r="B91" s="83"/>
      <c r="C91" s="83"/>
      <c r="F91" s="78"/>
      <c r="G91" s="78"/>
      <c r="H91" s="78"/>
      <c r="I91" s="78"/>
      <c r="J91" s="78"/>
      <c r="O91" s="83"/>
      <c r="P91" s="84"/>
    </row>
    <row r="92">
      <c r="A92" s="83"/>
      <c r="B92" s="83"/>
      <c r="C92" s="83"/>
      <c r="F92" s="78"/>
      <c r="G92" s="78"/>
      <c r="H92" s="78"/>
      <c r="I92" s="78"/>
      <c r="J92" s="78"/>
      <c r="O92" s="83"/>
      <c r="P92" s="84"/>
    </row>
    <row r="93">
      <c r="A93" s="83"/>
      <c r="B93" s="83"/>
      <c r="C93" s="83"/>
      <c r="F93" s="78"/>
      <c r="G93" s="78"/>
      <c r="H93" s="78"/>
      <c r="I93" s="78"/>
      <c r="J93" s="78"/>
      <c r="O93" s="83"/>
      <c r="P93" s="84"/>
    </row>
    <row r="94">
      <c r="A94" s="83"/>
      <c r="B94" s="83"/>
      <c r="C94" s="83"/>
      <c r="F94" s="78"/>
      <c r="G94" s="78"/>
      <c r="H94" s="78"/>
      <c r="I94" s="78"/>
      <c r="J94" s="78"/>
      <c r="O94" s="83"/>
      <c r="P94" s="84"/>
    </row>
    <row r="95">
      <c r="A95" s="83"/>
      <c r="B95" s="83"/>
      <c r="C95" s="83"/>
      <c r="F95" s="78"/>
      <c r="G95" s="78"/>
      <c r="H95" s="78"/>
      <c r="I95" s="78"/>
      <c r="J95" s="78"/>
      <c r="O95" s="83"/>
      <c r="P95" s="84"/>
    </row>
    <row r="96">
      <c r="A96" s="83"/>
      <c r="B96" s="83"/>
      <c r="C96" s="83"/>
      <c r="F96" s="78"/>
      <c r="G96" s="78"/>
      <c r="H96" s="78"/>
      <c r="I96" s="78"/>
      <c r="J96" s="78"/>
      <c r="O96" s="83"/>
      <c r="P96" s="84"/>
    </row>
    <row r="97">
      <c r="A97" s="83"/>
      <c r="B97" s="83"/>
      <c r="C97" s="83"/>
      <c r="F97" s="78"/>
      <c r="G97" s="78"/>
      <c r="H97" s="78"/>
      <c r="I97" s="78"/>
      <c r="J97" s="78"/>
      <c r="O97" s="83"/>
      <c r="P97" s="84"/>
    </row>
    <row r="98">
      <c r="A98" s="83"/>
      <c r="B98" s="83"/>
      <c r="C98" s="83"/>
      <c r="F98" s="78"/>
      <c r="G98" s="78"/>
      <c r="H98" s="78"/>
      <c r="I98" s="78"/>
      <c r="J98" s="78"/>
      <c r="O98" s="83"/>
      <c r="P98" s="84"/>
    </row>
    <row r="99">
      <c r="A99" s="83"/>
      <c r="B99" s="75" t="s">
        <v>2481</v>
      </c>
      <c r="C99" s="83"/>
      <c r="F99" s="78"/>
      <c r="G99" s="78"/>
      <c r="H99" s="78"/>
      <c r="I99" s="78"/>
      <c r="J99" s="78"/>
      <c r="O99" s="83"/>
      <c r="P99" s="84"/>
    </row>
    <row r="100">
      <c r="A100" s="83"/>
      <c r="B100" s="1" t="s">
        <v>2482</v>
      </c>
      <c r="C100" s="83"/>
      <c r="F100" s="78"/>
      <c r="G100" s="78"/>
      <c r="H100" s="78"/>
      <c r="I100" s="78"/>
      <c r="J100" s="78"/>
      <c r="O100" s="83"/>
      <c r="P100" s="84"/>
    </row>
    <row r="101">
      <c r="A101" s="83"/>
      <c r="B101" s="83"/>
      <c r="C101" s="83"/>
      <c r="F101" s="78"/>
      <c r="G101" s="78"/>
      <c r="H101" s="78"/>
      <c r="I101" s="78"/>
      <c r="J101" s="78"/>
      <c r="O101" s="83"/>
      <c r="P101" s="84"/>
    </row>
    <row r="102">
      <c r="A102" s="75" t="s">
        <v>2484</v>
      </c>
      <c r="B102" s="83"/>
      <c r="C102" s="83"/>
      <c r="F102" s="78"/>
      <c r="G102" s="78"/>
      <c r="H102" s="85" t="s">
        <v>2486</v>
      </c>
      <c r="I102" s="78"/>
      <c r="J102" s="78"/>
      <c r="O102" s="83"/>
      <c r="P102" s="84"/>
    </row>
    <row r="103">
      <c r="A103" s="83"/>
      <c r="B103" s="83"/>
      <c r="C103" s="83"/>
      <c r="F103" s="78"/>
      <c r="G103" s="78"/>
      <c r="H103" s="78"/>
      <c r="I103" s="78"/>
      <c r="J103" s="78"/>
      <c r="O103" s="83"/>
      <c r="P103" s="84"/>
    </row>
    <row r="104">
      <c r="A104" s="83"/>
      <c r="B104" s="83"/>
      <c r="C104" s="83"/>
      <c r="F104" s="78"/>
      <c r="G104" s="78"/>
      <c r="H104" s="78"/>
      <c r="I104" s="78"/>
      <c r="J104" s="78"/>
      <c r="O104" s="83"/>
      <c r="P104" s="84"/>
    </row>
    <row r="105">
      <c r="A105" s="83"/>
      <c r="B105" s="83"/>
      <c r="C105" s="83"/>
      <c r="F105" s="78"/>
      <c r="G105" s="78"/>
      <c r="H105" s="78"/>
      <c r="I105" s="78"/>
      <c r="J105" s="78"/>
      <c r="O105" s="83"/>
      <c r="P105" s="84"/>
    </row>
    <row r="106">
      <c r="A106" s="83"/>
      <c r="B106" s="83"/>
      <c r="C106" s="83"/>
      <c r="F106" s="78"/>
      <c r="G106" s="78"/>
      <c r="H106" s="78"/>
      <c r="I106" s="78"/>
      <c r="J106" s="78"/>
      <c r="O106" s="83"/>
      <c r="P106" s="84"/>
    </row>
    <row r="107">
      <c r="A107" s="83"/>
      <c r="B107" s="83"/>
      <c r="C107" s="83"/>
      <c r="F107" s="78"/>
      <c r="G107" s="78"/>
      <c r="H107" s="78"/>
      <c r="I107" s="78"/>
      <c r="J107" s="78"/>
      <c r="O107" s="83"/>
      <c r="P107" s="84"/>
    </row>
    <row r="108">
      <c r="A108" s="83"/>
      <c r="B108" s="83"/>
      <c r="C108" s="83"/>
      <c r="F108" s="78"/>
      <c r="G108" s="78"/>
      <c r="H108" s="78"/>
      <c r="I108" s="78"/>
      <c r="J108" s="78"/>
      <c r="O108" s="83"/>
      <c r="P108" s="84"/>
    </row>
    <row r="109">
      <c r="A109" s="83"/>
      <c r="B109" s="83"/>
      <c r="C109" s="83"/>
      <c r="F109" s="78"/>
      <c r="G109" s="78"/>
      <c r="H109" s="78"/>
      <c r="I109" s="78"/>
      <c r="J109" s="78"/>
      <c r="O109" s="83"/>
      <c r="P109" s="84"/>
    </row>
    <row r="110">
      <c r="A110" s="83"/>
      <c r="B110" s="83"/>
      <c r="C110" s="83"/>
      <c r="F110" s="78"/>
      <c r="G110" s="78"/>
      <c r="H110" s="78"/>
      <c r="I110" s="78"/>
      <c r="J110" s="78"/>
      <c r="O110" s="83"/>
      <c r="P110" s="84"/>
    </row>
    <row r="111">
      <c r="A111" s="83"/>
      <c r="B111" s="83"/>
      <c r="C111" s="83"/>
      <c r="F111" s="78"/>
      <c r="G111" s="78"/>
      <c r="H111" s="78"/>
      <c r="I111" s="78"/>
      <c r="J111" s="78"/>
      <c r="O111" s="83"/>
      <c r="P111" s="84"/>
    </row>
    <row r="112">
      <c r="A112" s="83"/>
      <c r="B112" s="83"/>
      <c r="C112" s="83"/>
      <c r="F112" s="78"/>
      <c r="G112" s="78"/>
      <c r="H112" s="78"/>
      <c r="I112" s="78"/>
      <c r="J112" s="78"/>
      <c r="O112" s="83"/>
      <c r="P112" s="84"/>
    </row>
    <row r="113">
      <c r="A113" s="83"/>
      <c r="B113" s="83"/>
      <c r="C113" s="83"/>
      <c r="F113" s="78"/>
      <c r="G113" s="78"/>
      <c r="H113" s="78"/>
      <c r="I113" s="78"/>
      <c r="J113" s="78"/>
      <c r="O113" s="83"/>
      <c r="P113" s="84"/>
    </row>
    <row r="114">
      <c r="A114" s="83"/>
      <c r="B114" s="83"/>
      <c r="C114" s="83"/>
      <c r="F114" s="78"/>
      <c r="G114" s="78"/>
      <c r="H114" s="78"/>
      <c r="I114" s="78"/>
      <c r="J114" s="78"/>
      <c r="O114" s="83"/>
      <c r="P114" s="84"/>
    </row>
    <row r="115">
      <c r="A115" s="83"/>
      <c r="B115" s="83"/>
      <c r="C115" s="83"/>
      <c r="F115" s="78"/>
      <c r="G115" s="78"/>
      <c r="H115" s="78"/>
      <c r="I115" s="78"/>
      <c r="J115" s="78"/>
      <c r="O115" s="83"/>
      <c r="P115" s="84"/>
    </row>
    <row r="116">
      <c r="A116" s="83"/>
      <c r="B116" s="83"/>
      <c r="C116" s="83"/>
      <c r="F116" s="78"/>
      <c r="G116" s="78"/>
      <c r="H116" s="78"/>
      <c r="I116" s="78"/>
      <c r="J116" s="78"/>
      <c r="O116" s="83"/>
      <c r="P116" s="84"/>
    </row>
    <row r="117">
      <c r="A117" s="83"/>
      <c r="B117" s="83"/>
      <c r="C117" s="83"/>
      <c r="F117" s="78"/>
      <c r="G117" s="78"/>
      <c r="H117" s="78"/>
      <c r="I117" s="78"/>
      <c r="J117" s="78"/>
      <c r="O117" s="83"/>
      <c r="P117" s="84"/>
    </row>
    <row r="118">
      <c r="A118" s="83"/>
      <c r="B118" s="83"/>
      <c r="C118" s="83"/>
      <c r="F118" s="78"/>
      <c r="G118" s="78"/>
      <c r="H118" s="78"/>
      <c r="I118" s="78"/>
      <c r="J118" s="78"/>
      <c r="O118" s="83"/>
      <c r="P118" s="84"/>
    </row>
    <row r="119">
      <c r="A119" s="83"/>
      <c r="B119" s="83"/>
      <c r="C119" s="83"/>
      <c r="F119" s="78"/>
      <c r="G119" s="78"/>
      <c r="H119" s="78"/>
      <c r="I119" s="78"/>
      <c r="J119" s="78"/>
      <c r="O119" s="83"/>
      <c r="P119" s="84"/>
    </row>
    <row r="120">
      <c r="A120" s="83"/>
      <c r="B120" s="83"/>
      <c r="C120" s="83"/>
      <c r="F120" s="78"/>
      <c r="G120" s="78"/>
      <c r="H120" s="78"/>
      <c r="I120" s="78"/>
      <c r="J120" s="78"/>
      <c r="O120" s="83"/>
      <c r="P120" s="84"/>
    </row>
    <row r="121">
      <c r="A121" s="83"/>
      <c r="B121" s="83"/>
      <c r="C121" s="83"/>
      <c r="F121" s="78"/>
      <c r="G121" s="78"/>
      <c r="H121" s="78"/>
      <c r="I121" s="78"/>
      <c r="J121" s="78"/>
      <c r="O121" s="83"/>
      <c r="P121" s="84"/>
    </row>
    <row r="122">
      <c r="A122" s="83"/>
      <c r="B122" s="83"/>
      <c r="C122" s="83"/>
      <c r="F122" s="78"/>
      <c r="G122" s="78"/>
      <c r="H122" s="78"/>
      <c r="I122" s="78"/>
      <c r="J122" s="78"/>
      <c r="O122" s="83"/>
      <c r="P122" s="84"/>
    </row>
    <row r="123">
      <c r="A123" s="83"/>
      <c r="B123" s="83"/>
      <c r="C123" s="83"/>
      <c r="F123" s="78"/>
      <c r="G123" s="78"/>
      <c r="H123" s="78"/>
      <c r="I123" s="78"/>
      <c r="J123" s="78"/>
      <c r="O123" s="83"/>
      <c r="P123" s="84"/>
    </row>
    <row r="124">
      <c r="A124" s="83"/>
      <c r="B124" s="83"/>
      <c r="C124" s="83"/>
      <c r="F124" s="78"/>
      <c r="G124" s="78"/>
      <c r="H124" s="78"/>
      <c r="I124" s="78"/>
      <c r="J124" s="78"/>
      <c r="O124" s="83"/>
      <c r="P124" s="84"/>
    </row>
    <row r="125">
      <c r="A125" s="83"/>
      <c r="B125" s="83"/>
      <c r="C125" s="83"/>
      <c r="F125" s="78"/>
      <c r="G125" s="78"/>
      <c r="H125" s="78"/>
      <c r="I125" s="78"/>
      <c r="J125" s="78"/>
      <c r="O125" s="83"/>
      <c r="P125" s="84"/>
    </row>
    <row r="126">
      <c r="A126" s="83"/>
      <c r="B126" s="83"/>
      <c r="C126" s="83"/>
      <c r="F126" s="78"/>
      <c r="G126" s="78"/>
      <c r="H126" s="78"/>
      <c r="I126" s="78"/>
      <c r="J126" s="78"/>
      <c r="O126" s="83"/>
      <c r="P126" s="84"/>
    </row>
    <row r="127">
      <c r="A127" s="83"/>
      <c r="B127" s="83"/>
      <c r="C127" s="83"/>
      <c r="F127" s="78"/>
      <c r="G127" s="78"/>
      <c r="H127" s="78"/>
      <c r="I127" s="78"/>
      <c r="J127" s="78"/>
      <c r="O127" s="83"/>
      <c r="P127" s="84"/>
    </row>
    <row r="128">
      <c r="A128" s="83"/>
      <c r="B128" s="83"/>
      <c r="C128" s="83"/>
      <c r="F128" s="78"/>
      <c r="G128" s="78"/>
      <c r="H128" s="78"/>
      <c r="I128" s="78"/>
      <c r="J128" s="78"/>
      <c r="O128" s="83"/>
      <c r="P128" s="84"/>
    </row>
    <row r="129">
      <c r="A129" s="83"/>
      <c r="B129" s="83"/>
      <c r="C129" s="83"/>
      <c r="F129" s="78"/>
      <c r="G129" s="78"/>
      <c r="H129" s="78"/>
      <c r="I129" s="78"/>
      <c r="J129" s="78"/>
      <c r="O129" s="83"/>
      <c r="P129" s="84"/>
    </row>
    <row r="130">
      <c r="A130" s="83"/>
      <c r="B130" s="83"/>
      <c r="C130" s="83"/>
      <c r="F130" s="78"/>
      <c r="G130" s="78"/>
      <c r="H130" s="78"/>
      <c r="I130" s="78"/>
      <c r="J130" s="78"/>
      <c r="O130" s="83"/>
      <c r="P130" s="84"/>
    </row>
    <row r="131">
      <c r="A131" s="83"/>
      <c r="B131" s="83"/>
      <c r="C131" s="83"/>
      <c r="F131" s="78"/>
      <c r="G131" s="78"/>
      <c r="H131" s="78"/>
      <c r="I131" s="78"/>
      <c r="J131" s="78"/>
      <c r="O131" s="83"/>
      <c r="P131" s="84"/>
    </row>
    <row r="132">
      <c r="A132" s="83"/>
      <c r="B132" s="83"/>
      <c r="C132" s="83"/>
      <c r="F132" s="78"/>
      <c r="G132" s="78"/>
      <c r="H132" s="78"/>
      <c r="I132" s="78"/>
      <c r="J132" s="78"/>
      <c r="O132" s="83"/>
      <c r="P132" s="84"/>
    </row>
    <row r="133">
      <c r="A133" s="83"/>
      <c r="B133" s="83"/>
      <c r="C133" s="83"/>
      <c r="F133" s="78"/>
      <c r="G133" s="78"/>
      <c r="H133" s="78"/>
      <c r="I133" s="78"/>
      <c r="J133" s="78"/>
      <c r="O133" s="83"/>
      <c r="P133" s="84"/>
    </row>
    <row r="134">
      <c r="A134" s="83"/>
      <c r="B134" s="83"/>
      <c r="C134" s="83"/>
      <c r="F134" s="78"/>
      <c r="G134" s="78"/>
      <c r="H134" s="78"/>
      <c r="I134" s="78"/>
      <c r="J134" s="78"/>
      <c r="O134" s="83"/>
      <c r="P134" s="84"/>
    </row>
    <row r="135">
      <c r="A135" s="83"/>
      <c r="B135" s="83"/>
      <c r="C135" s="83"/>
      <c r="F135" s="78"/>
      <c r="G135" s="78"/>
      <c r="H135" s="78"/>
      <c r="I135" s="78"/>
      <c r="J135" s="78"/>
      <c r="O135" s="83"/>
      <c r="P135" s="84"/>
    </row>
    <row r="136">
      <c r="A136" s="83"/>
      <c r="B136" s="83"/>
      <c r="C136" s="83"/>
      <c r="F136" s="78"/>
      <c r="G136" s="78"/>
      <c r="H136" s="78"/>
      <c r="I136" s="78"/>
      <c r="J136" s="78"/>
      <c r="O136" s="83"/>
      <c r="P136" s="84"/>
    </row>
    <row r="137">
      <c r="A137" s="83"/>
      <c r="B137" s="83"/>
      <c r="C137" s="83"/>
      <c r="F137" s="78"/>
      <c r="G137" s="78"/>
      <c r="H137" s="78"/>
      <c r="I137" s="78"/>
      <c r="J137" s="78"/>
      <c r="O137" s="83"/>
      <c r="P137" s="84"/>
    </row>
    <row r="138">
      <c r="A138" s="83"/>
      <c r="B138" s="83"/>
      <c r="C138" s="83"/>
      <c r="F138" s="78"/>
      <c r="G138" s="78"/>
      <c r="H138" s="78"/>
      <c r="I138" s="78"/>
      <c r="J138" s="78"/>
      <c r="O138" s="83"/>
      <c r="P138" s="84"/>
    </row>
    <row r="139">
      <c r="A139" s="83"/>
      <c r="B139" s="83"/>
      <c r="C139" s="83"/>
      <c r="F139" s="78"/>
      <c r="G139" s="78"/>
      <c r="H139" s="78"/>
      <c r="I139" s="78"/>
      <c r="J139" s="78"/>
      <c r="O139" s="83"/>
      <c r="P139" s="84"/>
    </row>
    <row r="140">
      <c r="A140" s="83"/>
      <c r="B140" s="83"/>
      <c r="C140" s="83"/>
      <c r="F140" s="78"/>
      <c r="G140" s="78"/>
      <c r="H140" s="78"/>
      <c r="I140" s="78"/>
      <c r="J140" s="78"/>
      <c r="O140" s="83"/>
      <c r="P140" s="84"/>
    </row>
    <row r="141">
      <c r="A141" s="83"/>
      <c r="B141" s="83"/>
      <c r="C141" s="83"/>
      <c r="F141" s="78"/>
      <c r="G141" s="78"/>
      <c r="H141" s="78"/>
      <c r="I141" s="78"/>
      <c r="J141" s="78"/>
      <c r="O141" s="83"/>
      <c r="P141" s="84"/>
    </row>
    <row r="142">
      <c r="A142" s="83"/>
      <c r="B142" s="83"/>
      <c r="C142" s="83"/>
      <c r="F142" s="78"/>
      <c r="G142" s="78"/>
      <c r="H142" s="78"/>
      <c r="I142" s="78"/>
      <c r="J142" s="78"/>
      <c r="O142" s="83"/>
      <c r="P142" s="84"/>
    </row>
    <row r="143">
      <c r="A143" s="83"/>
      <c r="B143" s="83"/>
      <c r="C143" s="83"/>
      <c r="F143" s="78"/>
      <c r="G143" s="78"/>
      <c r="H143" s="78"/>
      <c r="I143" s="78"/>
      <c r="J143" s="78"/>
      <c r="O143" s="83"/>
      <c r="P143" s="84"/>
    </row>
    <row r="144">
      <c r="A144" s="83"/>
      <c r="B144" s="83"/>
      <c r="C144" s="83"/>
      <c r="F144" s="78"/>
      <c r="G144" s="78"/>
      <c r="H144" s="78"/>
      <c r="I144" s="78"/>
      <c r="J144" s="78"/>
      <c r="O144" s="83"/>
      <c r="P144" s="84"/>
    </row>
    <row r="145">
      <c r="A145" s="83"/>
      <c r="B145" s="83"/>
      <c r="C145" s="83"/>
      <c r="F145" s="78"/>
      <c r="G145" s="78"/>
      <c r="H145" s="78"/>
      <c r="I145" s="78"/>
      <c r="J145" s="78"/>
      <c r="O145" s="83"/>
      <c r="P145" s="84"/>
    </row>
    <row r="146">
      <c r="A146" s="83"/>
      <c r="B146" s="83"/>
      <c r="C146" s="83"/>
      <c r="F146" s="78"/>
      <c r="G146" s="78"/>
      <c r="H146" s="78"/>
      <c r="I146" s="78"/>
      <c r="J146" s="78"/>
      <c r="O146" s="83"/>
      <c r="P146" s="84"/>
    </row>
    <row r="147">
      <c r="A147" s="83"/>
      <c r="B147" s="83"/>
      <c r="C147" s="83"/>
      <c r="F147" s="78"/>
      <c r="G147" s="78"/>
      <c r="H147" s="78"/>
      <c r="I147" s="78"/>
      <c r="J147" s="78"/>
      <c r="O147" s="83"/>
      <c r="P147" s="84"/>
    </row>
    <row r="148">
      <c r="A148" s="83"/>
      <c r="B148" s="83"/>
      <c r="C148" s="83"/>
      <c r="F148" s="78"/>
      <c r="G148" s="78"/>
      <c r="H148" s="78"/>
      <c r="I148" s="78"/>
      <c r="J148" s="78"/>
      <c r="O148" s="83"/>
      <c r="P148" s="84"/>
    </row>
    <row r="149">
      <c r="A149" s="83"/>
      <c r="B149" s="83"/>
      <c r="C149" s="83"/>
      <c r="F149" s="78"/>
      <c r="G149" s="78"/>
      <c r="H149" s="78"/>
      <c r="I149" s="78"/>
      <c r="J149" s="78"/>
      <c r="O149" s="83"/>
      <c r="P149" s="84"/>
    </row>
    <row r="150">
      <c r="A150" s="83"/>
      <c r="B150" s="83"/>
      <c r="C150" s="83"/>
      <c r="F150" s="78"/>
      <c r="G150" s="78"/>
      <c r="H150" s="78"/>
      <c r="I150" s="78"/>
      <c r="J150" s="78"/>
      <c r="O150" s="83"/>
      <c r="P150" s="84"/>
    </row>
    <row r="151">
      <c r="A151" s="83"/>
      <c r="B151" s="83"/>
      <c r="C151" s="83"/>
      <c r="F151" s="78"/>
      <c r="G151" s="78"/>
      <c r="H151" s="78"/>
      <c r="I151" s="78"/>
      <c r="J151" s="78"/>
      <c r="O151" s="83"/>
      <c r="P151" s="84"/>
    </row>
    <row r="152">
      <c r="A152" s="83"/>
      <c r="B152" s="83"/>
      <c r="C152" s="83"/>
      <c r="F152" s="78"/>
      <c r="G152" s="78"/>
      <c r="H152" s="78"/>
      <c r="I152" s="78"/>
      <c r="J152" s="78"/>
      <c r="O152" s="83"/>
      <c r="P152" s="84"/>
    </row>
    <row r="153">
      <c r="A153" s="83"/>
      <c r="B153" s="83"/>
      <c r="C153" s="83"/>
      <c r="F153" s="78"/>
      <c r="G153" s="78"/>
      <c r="H153" s="78"/>
      <c r="I153" s="78"/>
      <c r="J153" s="78"/>
      <c r="O153" s="83"/>
      <c r="P153" s="84"/>
    </row>
    <row r="154">
      <c r="A154" s="83"/>
      <c r="B154" s="83"/>
      <c r="C154" s="83"/>
      <c r="F154" s="78"/>
      <c r="G154" s="78"/>
      <c r="H154" s="78"/>
      <c r="I154" s="78"/>
      <c r="J154" s="78"/>
      <c r="O154" s="83"/>
      <c r="P154" s="84"/>
    </row>
    <row r="155">
      <c r="A155" s="83"/>
      <c r="B155" s="83"/>
      <c r="C155" s="83"/>
      <c r="F155" s="78"/>
      <c r="G155" s="78"/>
      <c r="H155" s="78"/>
      <c r="I155" s="78"/>
      <c r="J155" s="78"/>
      <c r="O155" s="83"/>
      <c r="P155" s="84"/>
    </row>
    <row r="156">
      <c r="A156" s="83"/>
      <c r="B156" s="83"/>
      <c r="C156" s="83"/>
      <c r="F156" s="78"/>
      <c r="G156" s="78"/>
      <c r="H156" s="78"/>
      <c r="I156" s="78"/>
      <c r="J156" s="78"/>
      <c r="O156" s="83"/>
      <c r="P156" s="84"/>
    </row>
    <row r="157">
      <c r="A157" s="83"/>
      <c r="B157" s="83"/>
      <c r="C157" s="83"/>
      <c r="F157" s="78"/>
      <c r="G157" s="78"/>
      <c r="H157" s="78"/>
      <c r="I157" s="78"/>
      <c r="J157" s="78"/>
      <c r="O157" s="83"/>
      <c r="P157" s="84"/>
    </row>
    <row r="158">
      <c r="A158" s="83"/>
      <c r="B158" s="83"/>
      <c r="C158" s="83"/>
      <c r="F158" s="78"/>
      <c r="G158" s="78"/>
      <c r="H158" s="78"/>
      <c r="I158" s="78"/>
      <c r="J158" s="78"/>
      <c r="O158" s="83"/>
      <c r="P158" s="84"/>
    </row>
    <row r="159">
      <c r="A159" s="83"/>
      <c r="B159" s="83"/>
      <c r="C159" s="83"/>
      <c r="F159" s="78"/>
      <c r="G159" s="78"/>
      <c r="H159" s="78"/>
      <c r="I159" s="78"/>
      <c r="J159" s="78"/>
      <c r="O159" s="83"/>
      <c r="P159" s="84"/>
    </row>
    <row r="160">
      <c r="A160" s="83"/>
      <c r="B160" s="83"/>
      <c r="C160" s="83"/>
      <c r="F160" s="78"/>
      <c r="G160" s="78"/>
      <c r="H160" s="78"/>
      <c r="I160" s="78"/>
      <c r="J160" s="78"/>
      <c r="O160" s="83"/>
      <c r="P160" s="84"/>
    </row>
    <row r="161">
      <c r="A161" s="83"/>
      <c r="B161" s="83"/>
      <c r="C161" s="83"/>
      <c r="F161" s="78"/>
      <c r="G161" s="78"/>
      <c r="H161" s="78"/>
      <c r="I161" s="78"/>
      <c r="J161" s="78"/>
      <c r="O161" s="83"/>
      <c r="P161" s="84"/>
    </row>
    <row r="162">
      <c r="A162" s="83"/>
      <c r="B162" s="83"/>
      <c r="C162" s="83"/>
      <c r="F162" s="78"/>
      <c r="G162" s="78"/>
      <c r="H162" s="78"/>
      <c r="I162" s="78"/>
      <c r="J162" s="78"/>
      <c r="O162" s="83"/>
      <c r="P162" s="84"/>
    </row>
    <row r="163">
      <c r="A163" s="83"/>
      <c r="B163" s="83"/>
      <c r="C163" s="83"/>
      <c r="F163" s="78"/>
      <c r="G163" s="78"/>
      <c r="H163" s="78"/>
      <c r="I163" s="78"/>
      <c r="J163" s="78"/>
      <c r="O163" s="83"/>
      <c r="P163" s="84"/>
    </row>
    <row r="164">
      <c r="A164" s="83"/>
      <c r="B164" s="83"/>
      <c r="C164" s="83"/>
      <c r="F164" s="78"/>
      <c r="G164" s="78"/>
      <c r="H164" s="78"/>
      <c r="I164" s="78"/>
      <c r="J164" s="78"/>
      <c r="O164" s="83"/>
      <c r="P164" s="84"/>
    </row>
    <row r="165">
      <c r="A165" s="83"/>
      <c r="B165" s="83"/>
      <c r="C165" s="83"/>
      <c r="F165" s="78"/>
      <c r="G165" s="78"/>
      <c r="H165" s="78"/>
      <c r="I165" s="78"/>
      <c r="J165" s="78"/>
      <c r="O165" s="83"/>
      <c r="P165" s="84"/>
    </row>
    <row r="166">
      <c r="A166" s="83"/>
      <c r="B166" s="83"/>
      <c r="C166" s="83"/>
      <c r="F166" s="78"/>
      <c r="G166" s="78"/>
      <c r="H166" s="78"/>
      <c r="I166" s="78"/>
      <c r="J166" s="78"/>
      <c r="O166" s="83"/>
      <c r="P166" s="84"/>
    </row>
    <row r="167">
      <c r="A167" s="83"/>
      <c r="B167" s="83"/>
      <c r="C167" s="83"/>
      <c r="F167" s="78"/>
      <c r="G167" s="78"/>
      <c r="H167" s="78"/>
      <c r="I167" s="78"/>
      <c r="J167" s="78"/>
      <c r="O167" s="83"/>
      <c r="P167" s="84"/>
    </row>
    <row r="168">
      <c r="A168" s="83"/>
      <c r="B168" s="83"/>
      <c r="C168" s="83"/>
      <c r="F168" s="78"/>
      <c r="G168" s="78"/>
      <c r="H168" s="78"/>
      <c r="I168" s="78"/>
      <c r="J168" s="78"/>
      <c r="O168" s="83"/>
      <c r="P168" s="84"/>
    </row>
    <row r="169">
      <c r="A169" s="83"/>
      <c r="B169" s="83"/>
      <c r="C169" s="83"/>
      <c r="F169" s="78"/>
      <c r="G169" s="78"/>
      <c r="H169" s="78"/>
      <c r="I169" s="78"/>
      <c r="J169" s="78"/>
      <c r="O169" s="83"/>
      <c r="P169" s="84"/>
    </row>
    <row r="170">
      <c r="A170" s="83"/>
      <c r="B170" s="83"/>
      <c r="C170" s="83"/>
      <c r="F170" s="78"/>
      <c r="G170" s="78"/>
      <c r="H170" s="78"/>
      <c r="I170" s="78"/>
      <c r="J170" s="78"/>
      <c r="O170" s="83"/>
      <c r="P170" s="84"/>
    </row>
    <row r="171">
      <c r="A171" s="83"/>
      <c r="B171" s="83"/>
      <c r="C171" s="83"/>
      <c r="F171" s="78"/>
      <c r="G171" s="78"/>
      <c r="H171" s="78"/>
      <c r="I171" s="78"/>
      <c r="J171" s="78"/>
      <c r="O171" s="83"/>
      <c r="P171" s="84"/>
    </row>
    <row r="172">
      <c r="A172" s="83"/>
      <c r="B172" s="83"/>
      <c r="C172" s="83"/>
      <c r="F172" s="78"/>
      <c r="G172" s="78"/>
      <c r="H172" s="78"/>
      <c r="I172" s="78"/>
      <c r="J172" s="78"/>
      <c r="O172" s="83"/>
      <c r="P172" s="84"/>
    </row>
    <row r="173">
      <c r="A173" s="83"/>
      <c r="B173" s="83"/>
      <c r="C173" s="83"/>
      <c r="F173" s="78"/>
      <c r="G173" s="78"/>
      <c r="H173" s="78"/>
      <c r="I173" s="78"/>
      <c r="J173" s="78"/>
      <c r="O173" s="83"/>
      <c r="P173" s="84"/>
    </row>
    <row r="174">
      <c r="A174" s="83"/>
      <c r="B174" s="83"/>
      <c r="C174" s="83"/>
      <c r="F174" s="78"/>
      <c r="G174" s="78"/>
      <c r="H174" s="78"/>
      <c r="I174" s="78"/>
      <c r="J174" s="78"/>
      <c r="O174" s="83"/>
      <c r="P174" s="84"/>
    </row>
    <row r="175">
      <c r="A175" s="83"/>
      <c r="B175" s="83"/>
      <c r="C175" s="83"/>
      <c r="F175" s="78"/>
      <c r="G175" s="78"/>
      <c r="H175" s="78"/>
      <c r="I175" s="78"/>
      <c r="J175" s="78"/>
      <c r="O175" s="83"/>
      <c r="P175" s="84"/>
    </row>
    <row r="176">
      <c r="A176" s="83"/>
      <c r="B176" s="83"/>
      <c r="C176" s="83"/>
      <c r="F176" s="78"/>
      <c r="G176" s="78"/>
      <c r="H176" s="78"/>
      <c r="I176" s="78"/>
      <c r="J176" s="78"/>
      <c r="O176" s="83"/>
      <c r="P176" s="84"/>
    </row>
    <row r="177">
      <c r="A177" s="83"/>
      <c r="B177" s="83"/>
      <c r="C177" s="83"/>
      <c r="F177" s="78"/>
      <c r="G177" s="78"/>
      <c r="H177" s="78"/>
      <c r="I177" s="78"/>
      <c r="J177" s="78"/>
      <c r="O177" s="83"/>
      <c r="P177" s="84"/>
    </row>
    <row r="178">
      <c r="A178" s="83"/>
      <c r="B178" s="83"/>
      <c r="C178" s="83"/>
      <c r="F178" s="78"/>
      <c r="G178" s="78"/>
      <c r="H178" s="78"/>
      <c r="I178" s="78"/>
      <c r="J178" s="78"/>
      <c r="O178" s="83"/>
      <c r="P178" s="84"/>
    </row>
    <row r="179">
      <c r="A179" s="83"/>
      <c r="B179" s="83"/>
      <c r="C179" s="83"/>
      <c r="F179" s="78"/>
      <c r="G179" s="78"/>
      <c r="H179" s="78"/>
      <c r="I179" s="78"/>
      <c r="J179" s="78"/>
      <c r="O179" s="83"/>
      <c r="P179" s="84"/>
    </row>
    <row r="180">
      <c r="A180" s="83"/>
      <c r="B180" s="83"/>
      <c r="C180" s="83"/>
      <c r="F180" s="78"/>
      <c r="G180" s="78"/>
      <c r="H180" s="78"/>
      <c r="I180" s="78"/>
      <c r="J180" s="78"/>
      <c r="O180" s="83"/>
      <c r="P180" s="84"/>
    </row>
    <row r="181">
      <c r="A181" s="83"/>
      <c r="B181" s="83"/>
      <c r="C181" s="83"/>
      <c r="F181" s="78"/>
      <c r="G181" s="78"/>
      <c r="H181" s="78"/>
      <c r="I181" s="78"/>
      <c r="J181" s="78"/>
      <c r="O181" s="83"/>
      <c r="P181" s="84"/>
    </row>
    <row r="182">
      <c r="A182" s="83"/>
      <c r="B182" s="83"/>
      <c r="C182" s="83"/>
      <c r="F182" s="78"/>
      <c r="G182" s="78"/>
      <c r="H182" s="78"/>
      <c r="I182" s="78"/>
      <c r="J182" s="78"/>
      <c r="O182" s="83"/>
      <c r="P182" s="84"/>
    </row>
    <row r="183">
      <c r="A183" s="83"/>
      <c r="B183" s="83"/>
      <c r="C183" s="83"/>
      <c r="F183" s="78"/>
      <c r="G183" s="78"/>
      <c r="H183" s="78"/>
      <c r="I183" s="78"/>
      <c r="J183" s="78"/>
      <c r="O183" s="83"/>
      <c r="P183" s="84"/>
    </row>
    <row r="184">
      <c r="A184" s="83"/>
      <c r="B184" s="83"/>
      <c r="C184" s="83"/>
      <c r="F184" s="78"/>
      <c r="G184" s="78"/>
      <c r="H184" s="78"/>
      <c r="I184" s="78"/>
      <c r="J184" s="78"/>
      <c r="O184" s="83"/>
      <c r="P184" s="84"/>
    </row>
    <row r="185">
      <c r="A185" s="83"/>
      <c r="B185" s="83"/>
      <c r="C185" s="83"/>
      <c r="F185" s="78"/>
      <c r="G185" s="78"/>
      <c r="H185" s="78"/>
      <c r="I185" s="78"/>
      <c r="J185" s="78"/>
      <c r="O185" s="83"/>
      <c r="P185" s="84"/>
    </row>
    <row r="186">
      <c r="A186" s="83"/>
      <c r="B186" s="83"/>
      <c r="C186" s="83"/>
      <c r="F186" s="78"/>
      <c r="G186" s="78"/>
      <c r="H186" s="78"/>
      <c r="I186" s="78"/>
      <c r="J186" s="78"/>
      <c r="O186" s="83"/>
      <c r="P186" s="84"/>
    </row>
    <row r="187">
      <c r="A187" s="83"/>
      <c r="B187" s="83"/>
      <c r="C187" s="83"/>
      <c r="F187" s="78"/>
      <c r="G187" s="78"/>
      <c r="H187" s="78"/>
      <c r="I187" s="78"/>
      <c r="J187" s="78"/>
      <c r="O187" s="83"/>
      <c r="P187" s="84"/>
    </row>
    <row r="188">
      <c r="A188" s="83"/>
      <c r="B188" s="83"/>
      <c r="C188" s="83"/>
      <c r="F188" s="78"/>
      <c r="G188" s="78"/>
      <c r="H188" s="78"/>
      <c r="I188" s="78"/>
      <c r="J188" s="78"/>
      <c r="O188" s="83"/>
      <c r="P188" s="84"/>
    </row>
    <row r="189">
      <c r="A189" s="83"/>
      <c r="B189" s="83"/>
      <c r="C189" s="83"/>
      <c r="F189" s="78"/>
      <c r="G189" s="78"/>
      <c r="H189" s="78"/>
      <c r="I189" s="78"/>
      <c r="J189" s="78"/>
      <c r="O189" s="83"/>
      <c r="P189" s="84"/>
    </row>
    <row r="190">
      <c r="A190" s="83"/>
      <c r="B190" s="83"/>
      <c r="C190" s="83"/>
      <c r="F190" s="78"/>
      <c r="G190" s="78"/>
      <c r="H190" s="78"/>
      <c r="I190" s="78"/>
      <c r="J190" s="78"/>
      <c r="O190" s="83"/>
      <c r="P190" s="84"/>
    </row>
    <row r="191">
      <c r="A191" s="83"/>
      <c r="B191" s="83"/>
      <c r="C191" s="83"/>
      <c r="F191" s="78"/>
      <c r="G191" s="78"/>
      <c r="H191" s="78"/>
      <c r="I191" s="78"/>
      <c r="J191" s="78"/>
      <c r="O191" s="83"/>
      <c r="P191" s="84"/>
    </row>
    <row r="192">
      <c r="A192" s="83"/>
      <c r="B192" s="83"/>
      <c r="C192" s="83"/>
      <c r="F192" s="78"/>
      <c r="G192" s="78"/>
      <c r="H192" s="78"/>
      <c r="I192" s="78"/>
      <c r="J192" s="78"/>
      <c r="O192" s="83"/>
      <c r="P192" s="84"/>
    </row>
    <row r="193">
      <c r="A193" s="83"/>
      <c r="B193" s="83"/>
      <c r="C193" s="83"/>
      <c r="F193" s="78"/>
      <c r="G193" s="78"/>
      <c r="H193" s="78"/>
      <c r="I193" s="78"/>
      <c r="J193" s="78"/>
      <c r="O193" s="83"/>
      <c r="P193" s="84"/>
    </row>
    <row r="194">
      <c r="A194" s="83"/>
      <c r="B194" s="83"/>
      <c r="C194" s="83"/>
      <c r="F194" s="78"/>
      <c r="G194" s="78"/>
      <c r="H194" s="78"/>
      <c r="I194" s="78"/>
      <c r="J194" s="78"/>
      <c r="O194" s="83"/>
      <c r="P194" s="84"/>
    </row>
    <row r="195">
      <c r="A195" s="83"/>
      <c r="B195" s="83"/>
      <c r="C195" s="83"/>
      <c r="F195" s="78"/>
      <c r="G195" s="78"/>
      <c r="H195" s="78"/>
      <c r="I195" s="78"/>
      <c r="J195" s="78"/>
      <c r="O195" s="83"/>
      <c r="P195" s="84"/>
    </row>
    <row r="196">
      <c r="A196" s="83"/>
      <c r="B196" s="83"/>
      <c r="C196" s="83"/>
      <c r="F196" s="78"/>
      <c r="G196" s="78"/>
      <c r="H196" s="78"/>
      <c r="I196" s="78"/>
      <c r="J196" s="78"/>
      <c r="O196" s="83"/>
      <c r="P196" s="84"/>
    </row>
    <row r="197">
      <c r="A197" s="83"/>
      <c r="B197" s="83"/>
      <c r="C197" s="83"/>
      <c r="F197" s="78"/>
      <c r="G197" s="78"/>
      <c r="H197" s="78"/>
      <c r="I197" s="78"/>
      <c r="J197" s="78"/>
      <c r="O197" s="83"/>
      <c r="P197" s="84"/>
    </row>
    <row r="198">
      <c r="A198" s="83"/>
      <c r="B198" s="83"/>
      <c r="C198" s="83"/>
      <c r="F198" s="78"/>
      <c r="G198" s="78"/>
      <c r="H198" s="78"/>
      <c r="I198" s="78"/>
      <c r="J198" s="78"/>
      <c r="O198" s="83"/>
      <c r="P198" s="84"/>
    </row>
    <row r="199">
      <c r="A199" s="83"/>
      <c r="B199" s="83"/>
      <c r="C199" s="83"/>
      <c r="F199" s="78"/>
      <c r="G199" s="78"/>
      <c r="H199" s="78"/>
      <c r="I199" s="78"/>
      <c r="J199" s="78"/>
      <c r="O199" s="83"/>
      <c r="P199" s="84"/>
    </row>
    <row r="200">
      <c r="A200" s="83"/>
      <c r="B200" s="83"/>
      <c r="C200" s="83"/>
      <c r="F200" s="78"/>
      <c r="G200" s="78"/>
      <c r="H200" s="78"/>
      <c r="I200" s="78"/>
      <c r="J200" s="78"/>
      <c r="O200" s="83"/>
      <c r="P200" s="84"/>
    </row>
    <row r="201">
      <c r="A201" s="83"/>
      <c r="B201" s="83"/>
      <c r="C201" s="83"/>
      <c r="F201" s="78"/>
      <c r="G201" s="78"/>
      <c r="H201" s="78"/>
      <c r="I201" s="78"/>
      <c r="J201" s="78"/>
      <c r="O201" s="83"/>
      <c r="P201" s="84"/>
    </row>
    <row r="202">
      <c r="A202" s="83"/>
      <c r="B202" s="83"/>
      <c r="C202" s="83"/>
      <c r="F202" s="78"/>
      <c r="G202" s="78"/>
      <c r="H202" s="78"/>
      <c r="I202" s="78"/>
      <c r="J202" s="78"/>
      <c r="O202" s="83"/>
      <c r="P202" s="84"/>
    </row>
    <row r="203">
      <c r="A203" s="83"/>
      <c r="B203" s="83"/>
      <c r="C203" s="83"/>
      <c r="F203" s="78"/>
      <c r="G203" s="78"/>
      <c r="H203" s="78"/>
      <c r="I203" s="78"/>
      <c r="J203" s="78"/>
      <c r="O203" s="83"/>
      <c r="P203" s="84"/>
    </row>
    <row r="204">
      <c r="A204" s="83"/>
      <c r="B204" s="83"/>
      <c r="C204" s="83"/>
      <c r="F204" s="78"/>
      <c r="G204" s="78"/>
      <c r="H204" s="78"/>
      <c r="I204" s="78"/>
      <c r="J204" s="78"/>
      <c r="O204" s="83"/>
      <c r="P204" s="84"/>
    </row>
    <row r="205">
      <c r="A205" s="83"/>
      <c r="B205" s="83"/>
      <c r="C205" s="83"/>
      <c r="F205" s="78"/>
      <c r="G205" s="78"/>
      <c r="H205" s="78"/>
      <c r="I205" s="78"/>
      <c r="J205" s="78"/>
      <c r="O205" s="83"/>
      <c r="P205" s="84"/>
    </row>
    <row r="206">
      <c r="A206" s="83"/>
      <c r="B206" s="83"/>
      <c r="C206" s="83"/>
      <c r="F206" s="78"/>
      <c r="G206" s="78"/>
      <c r="H206" s="78"/>
      <c r="I206" s="78"/>
      <c r="J206" s="78"/>
      <c r="O206" s="83"/>
      <c r="P206" s="84"/>
    </row>
    <row r="207">
      <c r="A207" s="83"/>
      <c r="B207" s="83"/>
      <c r="C207" s="83"/>
      <c r="F207" s="78"/>
      <c r="G207" s="78"/>
      <c r="H207" s="78"/>
      <c r="I207" s="78"/>
      <c r="J207" s="78"/>
      <c r="O207" s="83"/>
      <c r="P207" s="84"/>
    </row>
    <row r="208">
      <c r="A208" s="83"/>
      <c r="B208" s="83"/>
      <c r="C208" s="83"/>
      <c r="F208" s="78"/>
      <c r="G208" s="78"/>
      <c r="H208" s="78"/>
      <c r="I208" s="78"/>
      <c r="J208" s="78"/>
      <c r="O208" s="83"/>
      <c r="P208" s="84"/>
    </row>
    <row r="209">
      <c r="A209" s="83"/>
      <c r="B209" s="83"/>
      <c r="C209" s="83"/>
      <c r="F209" s="78"/>
      <c r="G209" s="78"/>
      <c r="H209" s="78"/>
      <c r="I209" s="78"/>
      <c r="J209" s="78"/>
      <c r="O209" s="83"/>
      <c r="P209" s="84"/>
    </row>
    <row r="210">
      <c r="A210" s="83"/>
      <c r="B210" s="83"/>
      <c r="C210" s="83"/>
      <c r="F210" s="78"/>
      <c r="G210" s="78"/>
      <c r="H210" s="78"/>
      <c r="I210" s="78"/>
      <c r="J210" s="78"/>
      <c r="O210" s="83"/>
      <c r="P210" s="84"/>
    </row>
    <row r="211">
      <c r="A211" s="83"/>
      <c r="B211" s="83"/>
      <c r="C211" s="83"/>
      <c r="F211" s="78"/>
      <c r="G211" s="78"/>
      <c r="H211" s="78"/>
      <c r="I211" s="78"/>
      <c r="J211" s="78"/>
      <c r="O211" s="83"/>
      <c r="P211" s="84"/>
    </row>
    <row r="212">
      <c r="A212" s="83"/>
      <c r="B212" s="83"/>
      <c r="C212" s="83"/>
      <c r="F212" s="78"/>
      <c r="G212" s="78"/>
      <c r="H212" s="78"/>
      <c r="I212" s="78"/>
      <c r="J212" s="78"/>
      <c r="O212" s="83"/>
      <c r="P212" s="84"/>
    </row>
    <row r="213">
      <c r="A213" s="83"/>
      <c r="B213" s="83"/>
      <c r="C213" s="83"/>
      <c r="F213" s="78"/>
      <c r="G213" s="78"/>
      <c r="H213" s="78"/>
      <c r="I213" s="78"/>
      <c r="J213" s="78"/>
      <c r="O213" s="83"/>
      <c r="P213" s="84"/>
    </row>
    <row r="214">
      <c r="A214" s="83"/>
      <c r="B214" s="83"/>
      <c r="C214" s="83"/>
      <c r="F214" s="78"/>
      <c r="G214" s="78"/>
      <c r="H214" s="78"/>
      <c r="I214" s="78"/>
      <c r="J214" s="78"/>
      <c r="O214" s="83"/>
      <c r="P214" s="84"/>
    </row>
    <row r="215">
      <c r="A215" s="83"/>
      <c r="B215" s="83"/>
      <c r="C215" s="83"/>
      <c r="F215" s="78"/>
      <c r="G215" s="78"/>
      <c r="H215" s="78"/>
      <c r="I215" s="78"/>
      <c r="J215" s="78"/>
      <c r="O215" s="83"/>
      <c r="P215" s="84"/>
    </row>
    <row r="216">
      <c r="A216" s="83"/>
      <c r="B216" s="83"/>
      <c r="C216" s="83"/>
      <c r="F216" s="78"/>
      <c r="G216" s="78"/>
      <c r="H216" s="78"/>
      <c r="I216" s="78"/>
      <c r="J216" s="78"/>
      <c r="O216" s="83"/>
      <c r="P216" s="84"/>
    </row>
    <row r="217">
      <c r="A217" s="83"/>
      <c r="B217" s="83"/>
      <c r="C217" s="83"/>
      <c r="F217" s="78"/>
      <c r="G217" s="78"/>
      <c r="H217" s="78"/>
      <c r="I217" s="78"/>
      <c r="J217" s="78"/>
      <c r="O217" s="83"/>
      <c r="P217" s="84"/>
    </row>
    <row r="218">
      <c r="A218" s="83"/>
      <c r="B218" s="83"/>
      <c r="C218" s="83"/>
      <c r="F218" s="78"/>
      <c r="G218" s="78"/>
      <c r="H218" s="78"/>
      <c r="I218" s="78"/>
      <c r="J218" s="78"/>
      <c r="O218" s="83"/>
      <c r="P218" s="84"/>
    </row>
    <row r="219">
      <c r="A219" s="83"/>
      <c r="B219" s="83"/>
      <c r="C219" s="83"/>
      <c r="F219" s="78"/>
      <c r="G219" s="78"/>
      <c r="H219" s="78"/>
      <c r="I219" s="78"/>
      <c r="J219" s="78"/>
      <c r="O219" s="83"/>
      <c r="P219" s="84"/>
    </row>
    <row r="220">
      <c r="A220" s="83"/>
      <c r="B220" s="83"/>
      <c r="C220" s="83"/>
      <c r="F220" s="78"/>
      <c r="G220" s="78"/>
      <c r="H220" s="78"/>
      <c r="I220" s="78"/>
      <c r="J220" s="78"/>
      <c r="O220" s="83"/>
      <c r="P220" s="84"/>
    </row>
    <row r="221">
      <c r="A221" s="83"/>
      <c r="B221" s="83"/>
      <c r="C221" s="83"/>
      <c r="F221" s="78"/>
      <c r="G221" s="78"/>
      <c r="H221" s="78"/>
      <c r="I221" s="78"/>
      <c r="J221" s="78"/>
      <c r="O221" s="83"/>
      <c r="P221" s="84"/>
    </row>
    <row r="222">
      <c r="A222" s="83"/>
      <c r="B222" s="83"/>
      <c r="C222" s="83"/>
      <c r="F222" s="78"/>
      <c r="G222" s="78"/>
      <c r="H222" s="78"/>
      <c r="I222" s="78"/>
      <c r="J222" s="78"/>
      <c r="O222" s="83"/>
      <c r="P222" s="84"/>
    </row>
    <row r="223">
      <c r="A223" s="83"/>
      <c r="B223" s="83"/>
      <c r="C223" s="83"/>
      <c r="F223" s="78"/>
      <c r="G223" s="78"/>
      <c r="H223" s="78"/>
      <c r="I223" s="78"/>
      <c r="J223" s="78"/>
      <c r="O223" s="83"/>
      <c r="P223" s="84"/>
    </row>
    <row r="224">
      <c r="A224" s="83"/>
      <c r="B224" s="83"/>
      <c r="C224" s="83"/>
      <c r="F224" s="78"/>
      <c r="G224" s="78"/>
      <c r="H224" s="78"/>
      <c r="I224" s="78"/>
      <c r="J224" s="78"/>
      <c r="O224" s="83"/>
      <c r="P224" s="84"/>
    </row>
    <row r="225">
      <c r="A225" s="83"/>
      <c r="B225" s="83"/>
      <c r="C225" s="83"/>
      <c r="F225" s="78"/>
      <c r="G225" s="78"/>
      <c r="H225" s="78"/>
      <c r="I225" s="78"/>
      <c r="J225" s="78"/>
      <c r="O225" s="83"/>
      <c r="P225" s="84"/>
    </row>
    <row r="226">
      <c r="A226" s="83"/>
      <c r="B226" s="83"/>
      <c r="C226" s="83"/>
      <c r="F226" s="78"/>
      <c r="G226" s="78"/>
      <c r="H226" s="78"/>
      <c r="I226" s="78"/>
      <c r="J226" s="78"/>
      <c r="O226" s="83"/>
      <c r="P226" s="84"/>
    </row>
    <row r="227">
      <c r="A227" s="83"/>
      <c r="B227" s="83"/>
      <c r="C227" s="83"/>
      <c r="F227" s="78"/>
      <c r="G227" s="78"/>
      <c r="H227" s="78"/>
      <c r="I227" s="78"/>
      <c r="J227" s="78"/>
      <c r="O227" s="83"/>
      <c r="P227" s="84"/>
    </row>
    <row r="228">
      <c r="A228" s="83"/>
      <c r="B228" s="83"/>
      <c r="C228" s="83"/>
      <c r="F228" s="78"/>
      <c r="G228" s="78"/>
      <c r="H228" s="78"/>
      <c r="I228" s="78"/>
      <c r="J228" s="78"/>
      <c r="O228" s="83"/>
      <c r="P228" s="84"/>
    </row>
    <row r="229">
      <c r="A229" s="83"/>
      <c r="B229" s="83"/>
      <c r="C229" s="83"/>
      <c r="F229" s="78"/>
      <c r="G229" s="78"/>
      <c r="H229" s="78"/>
      <c r="I229" s="78"/>
      <c r="J229" s="78"/>
      <c r="O229" s="83"/>
      <c r="P229" s="84"/>
    </row>
    <row r="230">
      <c r="A230" s="83"/>
      <c r="B230" s="83"/>
      <c r="C230" s="83"/>
      <c r="F230" s="78"/>
      <c r="G230" s="78"/>
      <c r="H230" s="78"/>
      <c r="I230" s="78"/>
      <c r="J230" s="78"/>
      <c r="O230" s="83"/>
      <c r="P230" s="84"/>
    </row>
    <row r="231">
      <c r="A231" s="83"/>
      <c r="B231" s="83"/>
      <c r="C231" s="83"/>
      <c r="F231" s="78"/>
      <c r="G231" s="78"/>
      <c r="H231" s="78"/>
      <c r="I231" s="78"/>
      <c r="J231" s="78"/>
      <c r="O231" s="83"/>
      <c r="P231" s="84"/>
    </row>
    <row r="232">
      <c r="A232" s="83"/>
      <c r="B232" s="83"/>
      <c r="C232" s="83"/>
      <c r="F232" s="78"/>
      <c r="G232" s="78"/>
      <c r="H232" s="78"/>
      <c r="I232" s="78"/>
      <c r="J232" s="78"/>
      <c r="O232" s="83"/>
      <c r="P232" s="84"/>
    </row>
    <row r="233">
      <c r="A233" s="83"/>
      <c r="B233" s="83"/>
      <c r="C233" s="83"/>
      <c r="F233" s="78"/>
      <c r="G233" s="78"/>
      <c r="H233" s="78"/>
      <c r="I233" s="78"/>
      <c r="J233" s="78"/>
      <c r="O233" s="83"/>
      <c r="P233" s="84"/>
    </row>
    <row r="234">
      <c r="A234" s="83"/>
      <c r="B234" s="83"/>
      <c r="C234" s="83"/>
      <c r="F234" s="78"/>
      <c r="G234" s="78"/>
      <c r="H234" s="78"/>
      <c r="I234" s="78"/>
      <c r="J234" s="78"/>
      <c r="O234" s="83"/>
      <c r="P234" s="84"/>
    </row>
    <row r="235">
      <c r="A235" s="83"/>
      <c r="B235" s="83"/>
      <c r="C235" s="83"/>
      <c r="F235" s="78"/>
      <c r="G235" s="78"/>
      <c r="H235" s="78"/>
      <c r="I235" s="78"/>
      <c r="J235" s="78"/>
      <c r="O235" s="83"/>
      <c r="P235" s="84"/>
    </row>
    <row r="236">
      <c r="A236" s="83"/>
      <c r="B236" s="83"/>
      <c r="C236" s="83"/>
      <c r="F236" s="78"/>
      <c r="G236" s="78"/>
      <c r="H236" s="78"/>
      <c r="I236" s="78"/>
      <c r="J236" s="78"/>
      <c r="O236" s="83"/>
      <c r="P236" s="84"/>
    </row>
    <row r="237">
      <c r="A237" s="83"/>
      <c r="B237" s="83"/>
      <c r="C237" s="83"/>
      <c r="F237" s="78"/>
      <c r="G237" s="78"/>
      <c r="H237" s="78"/>
      <c r="I237" s="78"/>
      <c r="J237" s="78"/>
      <c r="O237" s="83"/>
      <c r="P237" s="84"/>
    </row>
    <row r="238">
      <c r="A238" s="83"/>
      <c r="B238" s="83"/>
      <c r="C238" s="83"/>
      <c r="F238" s="78"/>
      <c r="G238" s="78"/>
      <c r="H238" s="78"/>
      <c r="I238" s="78"/>
      <c r="J238" s="78"/>
      <c r="O238" s="83"/>
      <c r="P238" s="84"/>
    </row>
    <row r="239">
      <c r="A239" s="83"/>
      <c r="B239" s="83"/>
      <c r="C239" s="83"/>
      <c r="F239" s="78"/>
      <c r="G239" s="78"/>
      <c r="H239" s="78"/>
      <c r="I239" s="78"/>
      <c r="J239" s="78"/>
      <c r="O239" s="83"/>
      <c r="P239" s="84"/>
    </row>
    <row r="240">
      <c r="A240" s="83"/>
      <c r="B240" s="83"/>
      <c r="C240" s="83"/>
      <c r="F240" s="78"/>
      <c r="G240" s="78"/>
      <c r="H240" s="78"/>
      <c r="I240" s="78"/>
      <c r="J240" s="78"/>
      <c r="O240" s="83"/>
      <c r="P240" s="84"/>
    </row>
    <row r="241">
      <c r="A241" s="83"/>
      <c r="B241" s="83"/>
      <c r="C241" s="83"/>
      <c r="F241" s="78"/>
      <c r="G241" s="78"/>
      <c r="H241" s="78"/>
      <c r="I241" s="78"/>
      <c r="J241" s="78"/>
      <c r="O241" s="83"/>
      <c r="P241" s="84"/>
    </row>
    <row r="242">
      <c r="A242" s="83"/>
      <c r="B242" s="83"/>
      <c r="C242" s="83"/>
      <c r="F242" s="78"/>
      <c r="G242" s="78"/>
      <c r="H242" s="78"/>
      <c r="I242" s="78"/>
      <c r="J242" s="78"/>
      <c r="O242" s="83"/>
      <c r="P242" s="84"/>
    </row>
    <row r="243">
      <c r="A243" s="83"/>
      <c r="B243" s="83"/>
      <c r="C243" s="83"/>
      <c r="F243" s="78"/>
      <c r="G243" s="78"/>
      <c r="H243" s="78"/>
      <c r="I243" s="78"/>
      <c r="J243" s="78"/>
      <c r="O243" s="83"/>
      <c r="P243" s="84"/>
    </row>
    <row r="244">
      <c r="A244" s="83"/>
      <c r="B244" s="83"/>
      <c r="C244" s="83"/>
      <c r="F244" s="78"/>
      <c r="G244" s="78"/>
      <c r="H244" s="78"/>
      <c r="I244" s="78"/>
      <c r="J244" s="78"/>
      <c r="O244" s="83"/>
      <c r="P244" s="84"/>
    </row>
    <row r="245">
      <c r="A245" s="83"/>
      <c r="B245" s="83"/>
      <c r="C245" s="83"/>
      <c r="F245" s="78"/>
      <c r="G245" s="78"/>
      <c r="H245" s="78"/>
      <c r="I245" s="78"/>
      <c r="J245" s="78"/>
      <c r="O245" s="83"/>
      <c r="P245" s="84"/>
    </row>
    <row r="246">
      <c r="A246" s="83"/>
      <c r="B246" s="83"/>
      <c r="C246" s="83"/>
      <c r="F246" s="78"/>
      <c r="G246" s="78"/>
      <c r="H246" s="78"/>
      <c r="I246" s="78"/>
      <c r="J246" s="78"/>
      <c r="O246" s="83"/>
      <c r="P246" s="84"/>
    </row>
    <row r="247">
      <c r="A247" s="83"/>
      <c r="B247" s="83"/>
      <c r="C247" s="83"/>
      <c r="F247" s="78"/>
      <c r="G247" s="78"/>
      <c r="H247" s="78"/>
      <c r="I247" s="78"/>
      <c r="J247" s="78"/>
      <c r="O247" s="83"/>
      <c r="P247" s="84"/>
    </row>
    <row r="248">
      <c r="A248" s="83"/>
      <c r="B248" s="83"/>
      <c r="C248" s="83"/>
      <c r="F248" s="78"/>
      <c r="G248" s="78"/>
      <c r="H248" s="78"/>
      <c r="I248" s="78"/>
      <c r="J248" s="78"/>
      <c r="O248" s="83"/>
      <c r="P248" s="84"/>
    </row>
    <row r="249">
      <c r="A249" s="83"/>
      <c r="B249" s="83"/>
      <c r="C249" s="83"/>
      <c r="F249" s="78"/>
      <c r="G249" s="78"/>
      <c r="H249" s="78"/>
      <c r="I249" s="78"/>
      <c r="J249" s="78"/>
      <c r="O249" s="83"/>
      <c r="P249" s="84"/>
    </row>
    <row r="250">
      <c r="A250" s="83"/>
      <c r="B250" s="83"/>
      <c r="C250" s="83"/>
      <c r="F250" s="78"/>
      <c r="G250" s="78"/>
      <c r="H250" s="78"/>
      <c r="I250" s="78"/>
      <c r="J250" s="78"/>
      <c r="O250" s="83"/>
      <c r="P250" s="84"/>
    </row>
    <row r="251">
      <c r="A251" s="83"/>
      <c r="B251" s="83"/>
      <c r="C251" s="83"/>
      <c r="F251" s="78"/>
      <c r="G251" s="78"/>
      <c r="H251" s="78"/>
      <c r="I251" s="78"/>
      <c r="J251" s="78"/>
      <c r="O251" s="83"/>
      <c r="P251" s="84"/>
    </row>
    <row r="252">
      <c r="A252" s="83"/>
      <c r="B252" s="83"/>
      <c r="C252" s="83"/>
      <c r="F252" s="78"/>
      <c r="G252" s="78"/>
      <c r="H252" s="78"/>
      <c r="I252" s="78"/>
      <c r="J252" s="78"/>
      <c r="O252" s="83"/>
      <c r="P252" s="84"/>
    </row>
    <row r="253">
      <c r="A253" s="83"/>
      <c r="B253" s="83"/>
      <c r="C253" s="83"/>
      <c r="F253" s="78"/>
      <c r="G253" s="78"/>
      <c r="H253" s="78"/>
      <c r="I253" s="78"/>
      <c r="J253" s="78"/>
      <c r="O253" s="83"/>
      <c r="P253" s="84"/>
    </row>
    <row r="254">
      <c r="A254" s="83"/>
      <c r="B254" s="83"/>
      <c r="C254" s="83"/>
      <c r="F254" s="78"/>
      <c r="G254" s="78"/>
      <c r="H254" s="78"/>
      <c r="I254" s="78"/>
      <c r="J254" s="78"/>
      <c r="O254" s="83"/>
      <c r="P254" s="84"/>
    </row>
    <row r="255">
      <c r="A255" s="83"/>
      <c r="B255" s="83"/>
      <c r="C255" s="83"/>
      <c r="F255" s="78"/>
      <c r="G255" s="78"/>
      <c r="H255" s="78"/>
      <c r="I255" s="78"/>
      <c r="J255" s="78"/>
      <c r="O255" s="83"/>
      <c r="P255" s="84"/>
    </row>
    <row r="256">
      <c r="A256" s="83"/>
      <c r="B256" s="83"/>
      <c r="C256" s="83"/>
      <c r="F256" s="78"/>
      <c r="G256" s="78"/>
      <c r="H256" s="78"/>
      <c r="I256" s="78"/>
      <c r="J256" s="78"/>
      <c r="O256" s="83"/>
      <c r="P256" s="84"/>
    </row>
    <row r="257">
      <c r="A257" s="83"/>
      <c r="B257" s="83"/>
      <c r="C257" s="83"/>
      <c r="F257" s="78"/>
      <c r="G257" s="78"/>
      <c r="H257" s="78"/>
      <c r="I257" s="78"/>
      <c r="J257" s="78"/>
      <c r="O257" s="83"/>
      <c r="P257" s="84"/>
    </row>
    <row r="258">
      <c r="A258" s="83"/>
      <c r="B258" s="83"/>
      <c r="C258" s="83"/>
      <c r="F258" s="78"/>
      <c r="G258" s="78"/>
      <c r="H258" s="78"/>
      <c r="I258" s="78"/>
      <c r="J258" s="78"/>
      <c r="O258" s="83"/>
      <c r="P258" s="84"/>
    </row>
    <row r="259">
      <c r="A259" s="83"/>
      <c r="B259" s="83"/>
      <c r="C259" s="83"/>
      <c r="F259" s="78"/>
      <c r="G259" s="78"/>
      <c r="H259" s="78"/>
      <c r="I259" s="78"/>
      <c r="J259" s="78"/>
      <c r="O259" s="83"/>
      <c r="P259" s="84"/>
    </row>
    <row r="260">
      <c r="A260" s="83"/>
      <c r="B260" s="83"/>
      <c r="C260" s="83"/>
      <c r="F260" s="78"/>
      <c r="G260" s="78"/>
      <c r="H260" s="78"/>
      <c r="I260" s="78"/>
      <c r="J260" s="78"/>
      <c r="O260" s="83"/>
      <c r="P260" s="84"/>
    </row>
    <row r="261">
      <c r="A261" s="83"/>
      <c r="B261" s="83"/>
      <c r="C261" s="83"/>
      <c r="F261" s="78"/>
      <c r="G261" s="78"/>
      <c r="H261" s="78"/>
      <c r="I261" s="78"/>
      <c r="J261" s="78"/>
      <c r="O261" s="83"/>
      <c r="P261" s="84"/>
    </row>
    <row r="262">
      <c r="A262" s="83"/>
      <c r="B262" s="83"/>
      <c r="C262" s="83"/>
      <c r="F262" s="78"/>
      <c r="G262" s="78"/>
      <c r="H262" s="78"/>
      <c r="I262" s="78"/>
      <c r="J262" s="78"/>
      <c r="O262" s="83"/>
      <c r="P262" s="84"/>
    </row>
    <row r="263">
      <c r="A263" s="83"/>
      <c r="B263" s="83"/>
      <c r="C263" s="83"/>
      <c r="F263" s="78"/>
      <c r="G263" s="78"/>
      <c r="H263" s="78"/>
      <c r="I263" s="78"/>
      <c r="J263" s="78"/>
      <c r="O263" s="83"/>
      <c r="P263" s="84"/>
    </row>
    <row r="264">
      <c r="A264" s="83"/>
      <c r="B264" s="83"/>
      <c r="C264" s="83"/>
      <c r="F264" s="78"/>
      <c r="G264" s="78"/>
      <c r="H264" s="78"/>
      <c r="I264" s="78"/>
      <c r="J264" s="78"/>
      <c r="O264" s="83"/>
      <c r="P264" s="84"/>
    </row>
    <row r="265">
      <c r="A265" s="83"/>
      <c r="B265" s="83"/>
      <c r="C265" s="83"/>
      <c r="F265" s="78"/>
      <c r="G265" s="78"/>
      <c r="H265" s="78"/>
      <c r="I265" s="78"/>
      <c r="J265" s="78"/>
      <c r="O265" s="83"/>
      <c r="P265" s="84"/>
    </row>
    <row r="266">
      <c r="A266" s="83"/>
      <c r="B266" s="83"/>
      <c r="C266" s="83"/>
      <c r="F266" s="78"/>
      <c r="G266" s="78"/>
      <c r="H266" s="78"/>
      <c r="I266" s="78"/>
      <c r="J266" s="78"/>
      <c r="O266" s="83"/>
      <c r="P266" s="84"/>
    </row>
    <row r="267">
      <c r="A267" s="83"/>
      <c r="B267" s="83"/>
      <c r="C267" s="83"/>
      <c r="F267" s="78"/>
      <c r="G267" s="78"/>
      <c r="H267" s="78"/>
      <c r="I267" s="78"/>
      <c r="J267" s="78"/>
      <c r="O267" s="83"/>
      <c r="P267" s="84"/>
    </row>
    <row r="268">
      <c r="A268" s="83"/>
      <c r="B268" s="83"/>
      <c r="C268" s="83"/>
      <c r="F268" s="78"/>
      <c r="G268" s="78"/>
      <c r="H268" s="78"/>
      <c r="I268" s="78"/>
      <c r="J268" s="78"/>
      <c r="O268" s="83"/>
      <c r="P268" s="84"/>
    </row>
    <row r="269">
      <c r="A269" s="83"/>
      <c r="B269" s="83"/>
      <c r="C269" s="83"/>
      <c r="F269" s="78"/>
      <c r="G269" s="78"/>
      <c r="H269" s="78"/>
      <c r="I269" s="78"/>
      <c r="J269" s="78"/>
      <c r="O269" s="83"/>
      <c r="P269" s="84"/>
    </row>
    <row r="270">
      <c r="A270" s="83"/>
      <c r="B270" s="83"/>
      <c r="C270" s="83"/>
      <c r="F270" s="78"/>
      <c r="G270" s="78"/>
      <c r="H270" s="78"/>
      <c r="I270" s="78"/>
      <c r="J270" s="78"/>
      <c r="O270" s="83"/>
      <c r="P270" s="84"/>
    </row>
    <row r="271">
      <c r="A271" s="83"/>
      <c r="B271" s="83"/>
      <c r="C271" s="83"/>
      <c r="F271" s="78"/>
      <c r="G271" s="78"/>
      <c r="H271" s="78"/>
      <c r="I271" s="78"/>
      <c r="J271" s="78"/>
      <c r="O271" s="83"/>
      <c r="P271" s="84"/>
    </row>
    <row r="272">
      <c r="A272" s="83"/>
      <c r="B272" s="83"/>
      <c r="C272" s="83"/>
      <c r="F272" s="78"/>
      <c r="G272" s="78"/>
      <c r="H272" s="78"/>
      <c r="I272" s="78"/>
      <c r="J272" s="78"/>
      <c r="O272" s="83"/>
      <c r="P272" s="84"/>
    </row>
    <row r="273">
      <c r="A273" s="83"/>
      <c r="B273" s="83"/>
      <c r="C273" s="83"/>
      <c r="F273" s="78"/>
      <c r="G273" s="78"/>
      <c r="H273" s="78"/>
      <c r="I273" s="78"/>
      <c r="J273" s="78"/>
      <c r="O273" s="83"/>
      <c r="P273" s="84"/>
    </row>
    <row r="274">
      <c r="A274" s="83"/>
      <c r="B274" s="83"/>
      <c r="C274" s="83"/>
      <c r="F274" s="78"/>
      <c r="G274" s="78"/>
      <c r="H274" s="78"/>
      <c r="I274" s="78"/>
      <c r="J274" s="78"/>
      <c r="O274" s="83"/>
      <c r="P274" s="84"/>
    </row>
    <row r="275">
      <c r="A275" s="83"/>
      <c r="B275" s="83"/>
      <c r="C275" s="83"/>
      <c r="F275" s="78"/>
      <c r="G275" s="78"/>
      <c r="H275" s="78"/>
      <c r="I275" s="78"/>
      <c r="J275" s="78"/>
      <c r="O275" s="83"/>
      <c r="P275" s="84"/>
    </row>
    <row r="276">
      <c r="A276" s="83"/>
      <c r="B276" s="83"/>
      <c r="C276" s="83"/>
      <c r="F276" s="78"/>
      <c r="G276" s="78"/>
      <c r="H276" s="78"/>
      <c r="I276" s="78"/>
      <c r="J276" s="78"/>
      <c r="O276" s="83"/>
      <c r="P276" s="84"/>
    </row>
    <row r="277">
      <c r="A277" s="83"/>
      <c r="B277" s="83"/>
      <c r="C277" s="83"/>
      <c r="F277" s="78"/>
      <c r="G277" s="78"/>
      <c r="H277" s="78"/>
      <c r="I277" s="78"/>
      <c r="J277" s="78"/>
      <c r="O277" s="83"/>
      <c r="P277" s="84"/>
    </row>
    <row r="278">
      <c r="A278" s="83"/>
      <c r="B278" s="83"/>
      <c r="C278" s="83"/>
      <c r="F278" s="78"/>
      <c r="G278" s="78"/>
      <c r="H278" s="78"/>
      <c r="I278" s="78"/>
      <c r="J278" s="78"/>
      <c r="O278" s="83"/>
      <c r="P278" s="84"/>
    </row>
    <row r="279">
      <c r="A279" s="83"/>
      <c r="B279" s="83"/>
      <c r="C279" s="83"/>
      <c r="F279" s="78"/>
      <c r="G279" s="78"/>
      <c r="H279" s="78"/>
      <c r="I279" s="78"/>
      <c r="J279" s="78"/>
      <c r="O279" s="83"/>
      <c r="P279" s="84"/>
    </row>
    <row r="280">
      <c r="A280" s="83"/>
      <c r="B280" s="83"/>
      <c r="C280" s="83"/>
      <c r="F280" s="78"/>
      <c r="G280" s="78"/>
      <c r="H280" s="78"/>
      <c r="I280" s="78"/>
      <c r="J280" s="78"/>
      <c r="O280" s="83"/>
      <c r="P280" s="84"/>
    </row>
    <row r="281">
      <c r="A281" s="83"/>
      <c r="B281" s="83"/>
      <c r="C281" s="83"/>
      <c r="F281" s="78"/>
      <c r="G281" s="78"/>
      <c r="H281" s="78"/>
      <c r="I281" s="78"/>
      <c r="J281" s="78"/>
      <c r="O281" s="83"/>
      <c r="P281" s="84"/>
    </row>
    <row r="282">
      <c r="A282" s="83"/>
      <c r="B282" s="83"/>
      <c r="C282" s="83"/>
      <c r="F282" s="78"/>
      <c r="G282" s="78"/>
      <c r="H282" s="78"/>
      <c r="I282" s="78"/>
      <c r="J282" s="78"/>
      <c r="O282" s="83"/>
      <c r="P282" s="84"/>
    </row>
    <row r="283">
      <c r="A283" s="83"/>
      <c r="B283" s="83"/>
      <c r="C283" s="83"/>
      <c r="F283" s="78"/>
      <c r="G283" s="78"/>
      <c r="H283" s="78"/>
      <c r="I283" s="78"/>
      <c r="J283" s="78"/>
      <c r="O283" s="83"/>
      <c r="P283" s="84"/>
    </row>
    <row r="284">
      <c r="A284" s="83"/>
      <c r="B284" s="83"/>
      <c r="C284" s="83"/>
      <c r="F284" s="78"/>
      <c r="G284" s="78"/>
      <c r="H284" s="78"/>
      <c r="I284" s="78"/>
      <c r="J284" s="78"/>
      <c r="O284" s="83"/>
      <c r="P284" s="84"/>
    </row>
    <row r="285">
      <c r="A285" s="83"/>
      <c r="B285" s="83"/>
      <c r="C285" s="83"/>
      <c r="F285" s="78"/>
      <c r="G285" s="78"/>
      <c r="H285" s="78"/>
      <c r="I285" s="78"/>
      <c r="J285" s="78"/>
      <c r="O285" s="83"/>
      <c r="P285" s="84"/>
    </row>
    <row r="286">
      <c r="A286" s="83"/>
      <c r="B286" s="83"/>
      <c r="C286" s="83"/>
      <c r="F286" s="78"/>
      <c r="G286" s="78"/>
      <c r="H286" s="78"/>
      <c r="I286" s="78"/>
      <c r="J286" s="78"/>
      <c r="O286" s="83"/>
      <c r="P286" s="84"/>
    </row>
    <row r="287">
      <c r="A287" s="83"/>
      <c r="B287" s="83"/>
      <c r="C287" s="83"/>
      <c r="F287" s="78"/>
      <c r="G287" s="78"/>
      <c r="H287" s="78"/>
      <c r="I287" s="78"/>
      <c r="J287" s="78"/>
      <c r="O287" s="83"/>
      <c r="P287" s="84"/>
    </row>
    <row r="288">
      <c r="A288" s="83"/>
      <c r="B288" s="83"/>
      <c r="C288" s="83"/>
      <c r="F288" s="78"/>
      <c r="G288" s="78"/>
      <c r="H288" s="78"/>
      <c r="I288" s="78"/>
      <c r="J288" s="78"/>
      <c r="O288" s="83"/>
      <c r="P288" s="84"/>
    </row>
    <row r="289">
      <c r="A289" s="83"/>
      <c r="B289" s="83"/>
      <c r="C289" s="83"/>
      <c r="F289" s="78"/>
      <c r="G289" s="78"/>
      <c r="H289" s="78"/>
      <c r="I289" s="78"/>
      <c r="J289" s="78"/>
      <c r="O289" s="83"/>
      <c r="P289" s="84"/>
    </row>
    <row r="290">
      <c r="A290" s="83"/>
      <c r="B290" s="83"/>
      <c r="C290" s="83"/>
      <c r="F290" s="78"/>
      <c r="G290" s="78"/>
      <c r="H290" s="78"/>
      <c r="I290" s="78"/>
      <c r="J290" s="78"/>
      <c r="O290" s="83"/>
      <c r="P290" s="84"/>
    </row>
    <row r="291">
      <c r="A291" s="83"/>
      <c r="B291" s="83"/>
      <c r="C291" s="83"/>
      <c r="F291" s="78"/>
      <c r="G291" s="78"/>
      <c r="H291" s="78"/>
      <c r="I291" s="78"/>
      <c r="J291" s="78"/>
      <c r="O291" s="83"/>
      <c r="P291" s="84"/>
    </row>
    <row r="292">
      <c r="A292" s="83"/>
      <c r="B292" s="83"/>
      <c r="C292" s="83"/>
      <c r="F292" s="78"/>
      <c r="G292" s="78"/>
      <c r="H292" s="78"/>
      <c r="I292" s="78"/>
      <c r="J292" s="78"/>
      <c r="O292" s="83"/>
      <c r="P292" s="84"/>
    </row>
    <row r="293">
      <c r="A293" s="83"/>
      <c r="B293" s="83"/>
      <c r="C293" s="83"/>
      <c r="F293" s="78"/>
      <c r="G293" s="78"/>
      <c r="H293" s="78"/>
      <c r="I293" s="78"/>
      <c r="J293" s="78"/>
      <c r="O293" s="83"/>
      <c r="P293" s="84"/>
    </row>
    <row r="294">
      <c r="A294" s="83"/>
      <c r="B294" s="83"/>
      <c r="C294" s="83"/>
      <c r="F294" s="78"/>
      <c r="G294" s="78"/>
      <c r="H294" s="78"/>
      <c r="I294" s="78"/>
      <c r="J294" s="78"/>
      <c r="O294" s="83"/>
      <c r="P294" s="84"/>
    </row>
    <row r="295">
      <c r="A295" s="83"/>
      <c r="B295" s="83"/>
      <c r="C295" s="83"/>
      <c r="F295" s="78"/>
      <c r="G295" s="78"/>
      <c r="H295" s="78"/>
      <c r="I295" s="78"/>
      <c r="J295" s="78"/>
      <c r="O295" s="83"/>
      <c r="P295" s="84"/>
    </row>
    <row r="296">
      <c r="A296" s="83"/>
      <c r="B296" s="83"/>
      <c r="C296" s="83"/>
      <c r="F296" s="78"/>
      <c r="G296" s="78"/>
      <c r="H296" s="78"/>
      <c r="I296" s="78"/>
      <c r="J296" s="78"/>
      <c r="O296" s="83"/>
      <c r="P296" s="84"/>
    </row>
    <row r="297">
      <c r="A297" s="83"/>
      <c r="B297" s="83"/>
      <c r="C297" s="83"/>
      <c r="F297" s="78"/>
      <c r="G297" s="78"/>
      <c r="H297" s="78"/>
      <c r="I297" s="78"/>
      <c r="J297" s="78"/>
      <c r="O297" s="83"/>
      <c r="P297" s="84"/>
    </row>
    <row r="298">
      <c r="A298" s="83"/>
      <c r="B298" s="83"/>
      <c r="C298" s="83"/>
      <c r="F298" s="78"/>
      <c r="G298" s="78"/>
      <c r="H298" s="78"/>
      <c r="I298" s="78"/>
      <c r="J298" s="78"/>
      <c r="O298" s="83"/>
      <c r="P298" s="84"/>
    </row>
    <row r="299">
      <c r="A299" s="83"/>
      <c r="B299" s="83"/>
      <c r="C299" s="83"/>
      <c r="F299" s="78"/>
      <c r="G299" s="78"/>
      <c r="H299" s="78"/>
      <c r="I299" s="78"/>
      <c r="J299" s="78"/>
      <c r="O299" s="83"/>
      <c r="P299" s="84"/>
    </row>
    <row r="300">
      <c r="A300" s="83"/>
      <c r="B300" s="83"/>
      <c r="C300" s="83"/>
      <c r="F300" s="78"/>
      <c r="G300" s="78"/>
      <c r="H300" s="78"/>
      <c r="I300" s="78"/>
      <c r="J300" s="78"/>
      <c r="O300" s="83"/>
      <c r="P300" s="84"/>
    </row>
    <row r="301">
      <c r="A301" s="83"/>
      <c r="B301" s="83"/>
      <c r="C301" s="83"/>
      <c r="F301" s="78"/>
      <c r="G301" s="78"/>
      <c r="H301" s="78"/>
      <c r="I301" s="78"/>
      <c r="J301" s="78"/>
      <c r="O301" s="83"/>
      <c r="P301" s="84"/>
    </row>
    <row r="302">
      <c r="A302" s="83"/>
      <c r="B302" s="83"/>
      <c r="C302" s="83"/>
      <c r="F302" s="78"/>
      <c r="G302" s="78"/>
      <c r="H302" s="78"/>
      <c r="I302" s="78"/>
      <c r="J302" s="78"/>
      <c r="O302" s="83"/>
      <c r="P302" s="84"/>
    </row>
    <row r="303">
      <c r="A303" s="83"/>
      <c r="B303" s="83"/>
      <c r="C303" s="83"/>
      <c r="F303" s="78"/>
      <c r="G303" s="78"/>
      <c r="H303" s="78"/>
      <c r="I303" s="78"/>
      <c r="J303" s="78"/>
      <c r="O303" s="83"/>
      <c r="P303" s="84"/>
    </row>
    <row r="304">
      <c r="A304" s="83"/>
      <c r="B304" s="83"/>
      <c r="C304" s="83"/>
      <c r="F304" s="78"/>
      <c r="G304" s="78"/>
      <c r="H304" s="78"/>
      <c r="I304" s="78"/>
      <c r="J304" s="78"/>
      <c r="O304" s="83"/>
      <c r="P304" s="84"/>
    </row>
    <row r="305">
      <c r="A305" s="83"/>
      <c r="B305" s="83"/>
      <c r="C305" s="83"/>
      <c r="F305" s="78"/>
      <c r="G305" s="78"/>
      <c r="H305" s="78"/>
      <c r="I305" s="78"/>
      <c r="J305" s="78"/>
      <c r="O305" s="83"/>
      <c r="P305" s="84"/>
    </row>
    <row r="306">
      <c r="A306" s="83"/>
      <c r="B306" s="83"/>
      <c r="C306" s="83"/>
      <c r="F306" s="78"/>
      <c r="G306" s="78"/>
      <c r="H306" s="78"/>
      <c r="I306" s="78"/>
      <c r="J306" s="78"/>
      <c r="O306" s="83"/>
      <c r="P306" s="84"/>
    </row>
    <row r="307">
      <c r="A307" s="83"/>
      <c r="B307" s="83"/>
      <c r="C307" s="83"/>
      <c r="F307" s="78"/>
      <c r="G307" s="78"/>
      <c r="H307" s="78"/>
      <c r="I307" s="78"/>
      <c r="J307" s="78"/>
      <c r="O307" s="83"/>
      <c r="P307" s="84"/>
    </row>
    <row r="308">
      <c r="A308" s="83"/>
      <c r="B308" s="83"/>
      <c r="C308" s="83"/>
      <c r="F308" s="78"/>
      <c r="G308" s="78"/>
      <c r="H308" s="78"/>
      <c r="I308" s="78"/>
      <c r="J308" s="78"/>
      <c r="O308" s="83"/>
      <c r="P308" s="84"/>
    </row>
    <row r="309">
      <c r="A309" s="83"/>
      <c r="B309" s="83"/>
      <c r="C309" s="83"/>
      <c r="F309" s="78"/>
      <c r="G309" s="78"/>
      <c r="H309" s="78"/>
      <c r="I309" s="78"/>
      <c r="J309" s="78"/>
      <c r="O309" s="83"/>
      <c r="P309" s="84"/>
    </row>
    <row r="310">
      <c r="A310" s="83"/>
      <c r="B310" s="83"/>
      <c r="C310" s="83"/>
      <c r="F310" s="78"/>
      <c r="G310" s="78"/>
      <c r="H310" s="78"/>
      <c r="I310" s="78"/>
      <c r="J310" s="78"/>
      <c r="O310" s="83"/>
      <c r="P310" s="84"/>
    </row>
    <row r="311">
      <c r="A311" s="83"/>
      <c r="B311" s="83"/>
      <c r="C311" s="83"/>
      <c r="F311" s="78"/>
      <c r="G311" s="78"/>
      <c r="H311" s="78"/>
      <c r="I311" s="78"/>
      <c r="J311" s="78"/>
      <c r="O311" s="83"/>
      <c r="P311" s="84"/>
    </row>
    <row r="312">
      <c r="A312" s="83"/>
      <c r="B312" s="83"/>
      <c r="C312" s="83"/>
      <c r="F312" s="78"/>
      <c r="G312" s="78"/>
      <c r="H312" s="78"/>
      <c r="I312" s="78"/>
      <c r="J312" s="78"/>
      <c r="O312" s="83"/>
      <c r="P312" s="84"/>
    </row>
    <row r="313">
      <c r="A313" s="83"/>
      <c r="B313" s="83"/>
      <c r="C313" s="83"/>
      <c r="F313" s="78"/>
      <c r="G313" s="78"/>
      <c r="H313" s="78"/>
      <c r="I313" s="78"/>
      <c r="J313" s="78"/>
      <c r="O313" s="83"/>
      <c r="P313" s="84"/>
    </row>
    <row r="314">
      <c r="A314" s="83"/>
      <c r="B314" s="83"/>
      <c r="C314" s="83"/>
      <c r="F314" s="78"/>
      <c r="G314" s="78"/>
      <c r="H314" s="78"/>
      <c r="I314" s="78"/>
      <c r="J314" s="78"/>
      <c r="O314" s="83"/>
      <c r="P314" s="84"/>
    </row>
    <row r="315">
      <c r="A315" s="83"/>
      <c r="B315" s="83"/>
      <c r="C315" s="83"/>
      <c r="F315" s="78"/>
      <c r="G315" s="78"/>
      <c r="H315" s="78"/>
      <c r="I315" s="78"/>
      <c r="J315" s="78"/>
      <c r="O315" s="83"/>
      <c r="P315" s="84"/>
    </row>
    <row r="316">
      <c r="A316" s="83"/>
      <c r="B316" s="83"/>
      <c r="C316" s="83"/>
      <c r="F316" s="78"/>
      <c r="G316" s="78"/>
      <c r="H316" s="78"/>
      <c r="I316" s="78"/>
      <c r="J316" s="78"/>
      <c r="O316" s="83"/>
      <c r="P316" s="84"/>
    </row>
    <row r="317">
      <c r="A317" s="83"/>
      <c r="B317" s="83"/>
      <c r="C317" s="83"/>
      <c r="F317" s="78"/>
      <c r="G317" s="78"/>
      <c r="H317" s="78"/>
      <c r="I317" s="78"/>
      <c r="J317" s="78"/>
      <c r="O317" s="83"/>
      <c r="P317" s="84"/>
    </row>
    <row r="318">
      <c r="A318" s="83"/>
      <c r="B318" s="83"/>
      <c r="C318" s="83"/>
      <c r="F318" s="78"/>
      <c r="G318" s="78"/>
      <c r="H318" s="78"/>
      <c r="I318" s="78"/>
      <c r="J318" s="78"/>
      <c r="O318" s="83"/>
      <c r="P318" s="84"/>
    </row>
    <row r="319">
      <c r="A319" s="83"/>
      <c r="B319" s="83"/>
      <c r="C319" s="83"/>
      <c r="F319" s="78"/>
      <c r="G319" s="78"/>
      <c r="H319" s="78"/>
      <c r="I319" s="78"/>
      <c r="J319" s="78"/>
      <c r="O319" s="83"/>
      <c r="P319" s="84"/>
    </row>
    <row r="320">
      <c r="A320" s="83"/>
      <c r="B320" s="83"/>
      <c r="C320" s="83"/>
      <c r="F320" s="78"/>
      <c r="G320" s="78"/>
      <c r="H320" s="78"/>
      <c r="I320" s="78"/>
      <c r="J320" s="78"/>
      <c r="O320" s="83"/>
      <c r="P320" s="84"/>
    </row>
    <row r="321">
      <c r="A321" s="83"/>
      <c r="B321" s="83"/>
      <c r="C321" s="83"/>
      <c r="F321" s="78"/>
      <c r="G321" s="78"/>
      <c r="H321" s="78"/>
      <c r="I321" s="78"/>
      <c r="J321" s="78"/>
      <c r="O321" s="83"/>
      <c r="P321" s="84"/>
    </row>
    <row r="322">
      <c r="A322" s="83"/>
      <c r="B322" s="83"/>
      <c r="C322" s="83"/>
      <c r="F322" s="78"/>
      <c r="G322" s="78"/>
      <c r="H322" s="78"/>
      <c r="I322" s="78"/>
      <c r="J322" s="78"/>
      <c r="O322" s="83"/>
      <c r="P322" s="84"/>
    </row>
    <row r="323">
      <c r="A323" s="83"/>
      <c r="B323" s="83"/>
      <c r="C323" s="83"/>
      <c r="F323" s="78"/>
      <c r="G323" s="78"/>
      <c r="H323" s="78"/>
      <c r="I323" s="78"/>
      <c r="J323" s="78"/>
      <c r="O323" s="83"/>
      <c r="P323" s="84"/>
    </row>
    <row r="324">
      <c r="A324" s="83"/>
      <c r="B324" s="83"/>
      <c r="C324" s="83"/>
      <c r="F324" s="78"/>
      <c r="G324" s="78"/>
      <c r="H324" s="78"/>
      <c r="I324" s="78"/>
      <c r="J324" s="78"/>
      <c r="O324" s="83"/>
      <c r="P324" s="84"/>
    </row>
    <row r="325">
      <c r="A325" s="83"/>
      <c r="B325" s="83"/>
      <c r="C325" s="83"/>
      <c r="F325" s="78"/>
      <c r="G325" s="78"/>
      <c r="H325" s="78"/>
      <c r="I325" s="78"/>
      <c r="J325" s="78"/>
      <c r="O325" s="83"/>
      <c r="P325" s="84"/>
    </row>
    <row r="326">
      <c r="A326" s="83"/>
      <c r="B326" s="83"/>
      <c r="C326" s="83"/>
      <c r="F326" s="78"/>
      <c r="G326" s="78"/>
      <c r="H326" s="78"/>
      <c r="I326" s="78"/>
      <c r="J326" s="78"/>
      <c r="O326" s="83"/>
      <c r="P326" s="84"/>
    </row>
    <row r="327">
      <c r="A327" s="83"/>
      <c r="B327" s="83"/>
      <c r="C327" s="83"/>
      <c r="F327" s="78"/>
      <c r="G327" s="78"/>
      <c r="H327" s="78"/>
      <c r="I327" s="78"/>
      <c r="J327" s="78"/>
      <c r="O327" s="83"/>
      <c r="P327" s="84"/>
    </row>
    <row r="328">
      <c r="A328" s="83"/>
      <c r="B328" s="83"/>
      <c r="C328" s="83"/>
      <c r="F328" s="78"/>
      <c r="G328" s="78"/>
      <c r="H328" s="78"/>
      <c r="I328" s="78"/>
      <c r="J328" s="78"/>
      <c r="O328" s="83"/>
      <c r="P328" s="84"/>
    </row>
    <row r="329">
      <c r="A329" s="83"/>
      <c r="B329" s="83"/>
      <c r="C329" s="83"/>
      <c r="F329" s="78"/>
      <c r="G329" s="78"/>
      <c r="H329" s="78"/>
      <c r="I329" s="78"/>
      <c r="J329" s="78"/>
      <c r="O329" s="83"/>
      <c r="P329" s="84"/>
    </row>
    <row r="330">
      <c r="A330" s="83"/>
      <c r="B330" s="83"/>
      <c r="C330" s="83"/>
      <c r="F330" s="78"/>
      <c r="G330" s="78"/>
      <c r="H330" s="78"/>
      <c r="I330" s="78"/>
      <c r="J330" s="78"/>
      <c r="O330" s="83"/>
      <c r="P330" s="84"/>
    </row>
    <row r="331">
      <c r="A331" s="83"/>
      <c r="B331" s="83"/>
      <c r="C331" s="83"/>
      <c r="F331" s="78"/>
      <c r="G331" s="78"/>
      <c r="H331" s="78"/>
      <c r="I331" s="78"/>
      <c r="J331" s="78"/>
      <c r="O331" s="83"/>
      <c r="P331" s="84"/>
    </row>
    <row r="332">
      <c r="A332" s="83"/>
      <c r="B332" s="83"/>
      <c r="C332" s="83"/>
      <c r="F332" s="78"/>
      <c r="G332" s="78"/>
      <c r="H332" s="78"/>
      <c r="I332" s="78"/>
      <c r="J332" s="78"/>
      <c r="O332" s="83"/>
      <c r="P332" s="84"/>
    </row>
    <row r="333">
      <c r="A333" s="83"/>
      <c r="B333" s="83"/>
      <c r="C333" s="83"/>
      <c r="F333" s="78"/>
      <c r="G333" s="78"/>
      <c r="H333" s="78"/>
      <c r="I333" s="78"/>
      <c r="J333" s="78"/>
      <c r="O333" s="83"/>
      <c r="P333" s="84"/>
    </row>
    <row r="334">
      <c r="A334" s="83"/>
      <c r="B334" s="83"/>
      <c r="C334" s="83"/>
      <c r="F334" s="78"/>
      <c r="G334" s="78"/>
      <c r="H334" s="78"/>
      <c r="I334" s="78"/>
      <c r="J334" s="78"/>
      <c r="O334" s="83"/>
      <c r="P334" s="84"/>
    </row>
    <row r="335">
      <c r="A335" s="83"/>
      <c r="B335" s="83"/>
      <c r="C335" s="83"/>
      <c r="F335" s="78"/>
      <c r="G335" s="78"/>
      <c r="H335" s="78"/>
      <c r="I335" s="78"/>
      <c r="J335" s="78"/>
      <c r="O335" s="83"/>
      <c r="P335" s="84"/>
    </row>
    <row r="336">
      <c r="A336" s="83"/>
      <c r="B336" s="83"/>
      <c r="C336" s="83"/>
      <c r="F336" s="78"/>
      <c r="G336" s="78"/>
      <c r="H336" s="78"/>
      <c r="I336" s="78"/>
      <c r="J336" s="78"/>
      <c r="O336" s="83"/>
      <c r="P336" s="84"/>
    </row>
    <row r="337">
      <c r="A337" s="83"/>
      <c r="B337" s="83"/>
      <c r="C337" s="83"/>
      <c r="F337" s="78"/>
      <c r="G337" s="78"/>
      <c r="H337" s="78"/>
      <c r="I337" s="78"/>
      <c r="J337" s="78"/>
      <c r="O337" s="83"/>
      <c r="P337" s="84"/>
    </row>
    <row r="338">
      <c r="A338" s="83"/>
      <c r="B338" s="83"/>
      <c r="C338" s="83"/>
      <c r="F338" s="78"/>
      <c r="G338" s="78"/>
      <c r="H338" s="78"/>
      <c r="I338" s="78"/>
      <c r="J338" s="78"/>
      <c r="O338" s="83"/>
      <c r="P338" s="84"/>
    </row>
    <row r="339">
      <c r="A339" s="83"/>
      <c r="B339" s="83"/>
      <c r="C339" s="83"/>
      <c r="F339" s="78"/>
      <c r="G339" s="78"/>
      <c r="H339" s="78"/>
      <c r="I339" s="78"/>
      <c r="J339" s="78"/>
      <c r="O339" s="83"/>
      <c r="P339" s="84"/>
    </row>
    <row r="340">
      <c r="A340" s="83"/>
      <c r="B340" s="83"/>
      <c r="C340" s="83"/>
      <c r="F340" s="78"/>
      <c r="G340" s="78"/>
      <c r="H340" s="78"/>
      <c r="I340" s="78"/>
      <c r="J340" s="78"/>
      <c r="O340" s="83"/>
      <c r="P340" s="84"/>
    </row>
    <row r="341">
      <c r="A341" s="83"/>
      <c r="B341" s="83"/>
      <c r="C341" s="83"/>
      <c r="F341" s="78"/>
      <c r="G341" s="78"/>
      <c r="H341" s="78"/>
      <c r="I341" s="78"/>
      <c r="J341" s="78"/>
      <c r="O341" s="83"/>
      <c r="P341" s="84"/>
    </row>
    <row r="342">
      <c r="A342" s="83"/>
      <c r="B342" s="83"/>
      <c r="C342" s="83"/>
      <c r="F342" s="78"/>
      <c r="G342" s="78"/>
      <c r="H342" s="78"/>
      <c r="I342" s="78"/>
      <c r="J342" s="78"/>
      <c r="O342" s="83"/>
      <c r="P342" s="84"/>
    </row>
    <row r="343">
      <c r="A343" s="83"/>
      <c r="B343" s="83"/>
      <c r="C343" s="83"/>
      <c r="F343" s="78"/>
      <c r="G343" s="78"/>
      <c r="H343" s="78"/>
      <c r="I343" s="78"/>
      <c r="J343" s="78"/>
      <c r="O343" s="83"/>
      <c r="P343" s="84"/>
    </row>
    <row r="344">
      <c r="A344" s="83"/>
      <c r="B344" s="83"/>
      <c r="C344" s="83"/>
      <c r="F344" s="78"/>
      <c r="G344" s="78"/>
      <c r="H344" s="78"/>
      <c r="I344" s="78"/>
      <c r="J344" s="78"/>
      <c r="O344" s="83"/>
      <c r="P344" s="84"/>
    </row>
    <row r="345">
      <c r="A345" s="83"/>
      <c r="B345" s="83"/>
      <c r="C345" s="83"/>
      <c r="F345" s="78"/>
      <c r="G345" s="78"/>
      <c r="H345" s="78"/>
      <c r="I345" s="78"/>
      <c r="J345" s="78"/>
      <c r="O345" s="83"/>
      <c r="P345" s="84"/>
    </row>
    <row r="346">
      <c r="A346" s="83"/>
      <c r="B346" s="83"/>
      <c r="C346" s="83"/>
      <c r="F346" s="78"/>
      <c r="G346" s="78"/>
      <c r="H346" s="78"/>
      <c r="I346" s="78"/>
      <c r="J346" s="78"/>
      <c r="O346" s="83"/>
      <c r="P346" s="84"/>
    </row>
    <row r="347">
      <c r="A347" s="83"/>
      <c r="B347" s="83"/>
      <c r="C347" s="83"/>
      <c r="F347" s="78"/>
      <c r="G347" s="78"/>
      <c r="H347" s="78"/>
      <c r="I347" s="78"/>
      <c r="J347" s="78"/>
      <c r="O347" s="83"/>
      <c r="P347" s="84"/>
    </row>
    <row r="348">
      <c r="A348" s="83"/>
      <c r="B348" s="83"/>
      <c r="C348" s="83"/>
      <c r="F348" s="78"/>
      <c r="G348" s="78"/>
      <c r="H348" s="78"/>
      <c r="I348" s="78"/>
      <c r="J348" s="78"/>
      <c r="O348" s="83"/>
      <c r="P348" s="84"/>
    </row>
    <row r="349">
      <c r="A349" s="83"/>
      <c r="B349" s="83"/>
      <c r="C349" s="83"/>
      <c r="F349" s="78"/>
      <c r="G349" s="78"/>
      <c r="H349" s="78"/>
      <c r="I349" s="78"/>
      <c r="J349" s="78"/>
      <c r="O349" s="83"/>
      <c r="P349" s="84"/>
    </row>
    <row r="350">
      <c r="A350" s="83"/>
      <c r="B350" s="83"/>
      <c r="C350" s="83"/>
      <c r="F350" s="78"/>
      <c r="G350" s="78"/>
      <c r="H350" s="78"/>
      <c r="I350" s="78"/>
      <c r="J350" s="78"/>
      <c r="O350" s="83"/>
      <c r="P350" s="84"/>
    </row>
    <row r="351">
      <c r="A351" s="83"/>
      <c r="B351" s="83"/>
      <c r="C351" s="83"/>
      <c r="F351" s="78"/>
      <c r="G351" s="78"/>
      <c r="H351" s="78"/>
      <c r="I351" s="78"/>
      <c r="J351" s="78"/>
      <c r="O351" s="83"/>
      <c r="P351" s="84"/>
    </row>
    <row r="352">
      <c r="A352" s="83"/>
      <c r="B352" s="83"/>
      <c r="C352" s="83"/>
      <c r="F352" s="78"/>
      <c r="G352" s="78"/>
      <c r="H352" s="78"/>
      <c r="I352" s="78"/>
      <c r="J352" s="78"/>
      <c r="O352" s="83"/>
      <c r="P352" s="84"/>
    </row>
    <row r="353">
      <c r="A353" s="83"/>
      <c r="B353" s="83"/>
      <c r="C353" s="83"/>
      <c r="F353" s="78"/>
      <c r="G353" s="78"/>
      <c r="H353" s="78"/>
      <c r="I353" s="78"/>
      <c r="J353" s="78"/>
      <c r="O353" s="83"/>
      <c r="P353" s="84"/>
    </row>
    <row r="354">
      <c r="A354" s="83"/>
      <c r="B354" s="83"/>
      <c r="C354" s="83"/>
      <c r="F354" s="78"/>
      <c r="G354" s="78"/>
      <c r="H354" s="78"/>
      <c r="I354" s="78"/>
      <c r="J354" s="78"/>
      <c r="O354" s="83"/>
      <c r="P354" s="84"/>
    </row>
    <row r="355">
      <c r="A355" s="83"/>
      <c r="B355" s="83"/>
      <c r="C355" s="83"/>
      <c r="F355" s="78"/>
      <c r="G355" s="78"/>
      <c r="H355" s="78"/>
      <c r="I355" s="78"/>
      <c r="J355" s="78"/>
      <c r="O355" s="83"/>
      <c r="P355" s="84"/>
    </row>
    <row r="356">
      <c r="A356" s="83"/>
      <c r="B356" s="83"/>
      <c r="C356" s="83"/>
      <c r="F356" s="78"/>
      <c r="G356" s="78"/>
      <c r="H356" s="78"/>
      <c r="I356" s="78"/>
      <c r="J356" s="78"/>
      <c r="O356" s="83"/>
      <c r="P356" s="84"/>
    </row>
    <row r="357">
      <c r="A357" s="83"/>
      <c r="B357" s="83"/>
      <c r="C357" s="83"/>
      <c r="F357" s="78"/>
      <c r="G357" s="78"/>
      <c r="H357" s="78"/>
      <c r="I357" s="78"/>
      <c r="J357" s="78"/>
      <c r="O357" s="83"/>
      <c r="P357" s="84"/>
    </row>
    <row r="358">
      <c r="A358" s="83"/>
      <c r="B358" s="83"/>
      <c r="C358" s="83"/>
      <c r="F358" s="78"/>
      <c r="G358" s="78"/>
      <c r="H358" s="78"/>
      <c r="I358" s="78"/>
      <c r="J358" s="78"/>
      <c r="O358" s="83"/>
      <c r="P358" s="84"/>
    </row>
    <row r="359">
      <c r="A359" s="83"/>
      <c r="B359" s="83"/>
      <c r="C359" s="83"/>
      <c r="F359" s="78"/>
      <c r="G359" s="78"/>
      <c r="H359" s="78"/>
      <c r="I359" s="78"/>
      <c r="J359" s="78"/>
      <c r="O359" s="83"/>
      <c r="P359" s="84"/>
    </row>
    <row r="360">
      <c r="A360" s="83"/>
      <c r="B360" s="83"/>
      <c r="C360" s="83"/>
      <c r="F360" s="78"/>
      <c r="G360" s="78"/>
      <c r="H360" s="78"/>
      <c r="I360" s="78"/>
      <c r="J360" s="78"/>
      <c r="O360" s="83"/>
      <c r="P360" s="84"/>
    </row>
    <row r="361">
      <c r="A361" s="83"/>
      <c r="B361" s="83"/>
      <c r="C361" s="83"/>
      <c r="F361" s="78"/>
      <c r="G361" s="78"/>
      <c r="H361" s="78"/>
      <c r="I361" s="78"/>
      <c r="J361" s="78"/>
      <c r="O361" s="83"/>
      <c r="P361" s="84"/>
    </row>
    <row r="362">
      <c r="A362" s="83"/>
      <c r="B362" s="83"/>
      <c r="C362" s="83"/>
      <c r="F362" s="78"/>
      <c r="G362" s="78"/>
      <c r="H362" s="78"/>
      <c r="I362" s="78"/>
      <c r="J362" s="78"/>
      <c r="O362" s="83"/>
      <c r="P362" s="84"/>
    </row>
    <row r="363">
      <c r="A363" s="83"/>
      <c r="B363" s="83"/>
      <c r="C363" s="83"/>
      <c r="F363" s="78"/>
      <c r="G363" s="78"/>
      <c r="H363" s="78"/>
      <c r="I363" s="78"/>
      <c r="J363" s="78"/>
      <c r="O363" s="83"/>
      <c r="P363" s="84"/>
    </row>
    <row r="364">
      <c r="A364" s="83"/>
      <c r="B364" s="83"/>
      <c r="C364" s="83"/>
      <c r="F364" s="78"/>
      <c r="G364" s="78"/>
      <c r="H364" s="78"/>
      <c r="I364" s="78"/>
      <c r="J364" s="78"/>
      <c r="O364" s="83"/>
      <c r="P364" s="84"/>
    </row>
    <row r="365">
      <c r="A365" s="83"/>
      <c r="B365" s="83"/>
      <c r="C365" s="83"/>
      <c r="F365" s="78"/>
      <c r="G365" s="78"/>
      <c r="H365" s="78"/>
      <c r="I365" s="78"/>
      <c r="J365" s="78"/>
      <c r="O365" s="83"/>
      <c r="P365" s="84"/>
    </row>
    <row r="366">
      <c r="A366" s="83"/>
      <c r="B366" s="83"/>
      <c r="C366" s="83"/>
      <c r="F366" s="78"/>
      <c r="G366" s="78"/>
      <c r="H366" s="78"/>
      <c r="I366" s="78"/>
      <c r="J366" s="78"/>
      <c r="O366" s="83"/>
      <c r="P366" s="84"/>
    </row>
    <row r="367">
      <c r="A367" s="83"/>
      <c r="B367" s="83"/>
      <c r="C367" s="83"/>
      <c r="F367" s="78"/>
      <c r="G367" s="78"/>
      <c r="H367" s="78"/>
      <c r="I367" s="78"/>
      <c r="J367" s="78"/>
      <c r="O367" s="83"/>
      <c r="P367" s="84"/>
    </row>
    <row r="368">
      <c r="A368" s="83"/>
      <c r="B368" s="83"/>
      <c r="C368" s="83"/>
      <c r="F368" s="78"/>
      <c r="G368" s="78"/>
      <c r="H368" s="78"/>
      <c r="I368" s="78"/>
      <c r="J368" s="78"/>
      <c r="O368" s="83"/>
      <c r="P368" s="84"/>
    </row>
    <row r="369">
      <c r="A369" s="83"/>
      <c r="B369" s="83"/>
      <c r="C369" s="83"/>
      <c r="F369" s="78"/>
      <c r="G369" s="78"/>
      <c r="H369" s="78"/>
      <c r="I369" s="78"/>
      <c r="J369" s="78"/>
      <c r="O369" s="83"/>
      <c r="P369" s="84"/>
    </row>
    <row r="370">
      <c r="A370" s="83"/>
      <c r="B370" s="83"/>
      <c r="C370" s="83"/>
      <c r="F370" s="78"/>
      <c r="G370" s="78"/>
      <c r="H370" s="78"/>
      <c r="I370" s="78"/>
      <c r="J370" s="78"/>
      <c r="O370" s="83"/>
      <c r="P370" s="84"/>
    </row>
    <row r="371">
      <c r="A371" s="83"/>
      <c r="B371" s="83"/>
      <c r="C371" s="83"/>
      <c r="F371" s="78"/>
      <c r="G371" s="78"/>
      <c r="H371" s="78"/>
      <c r="I371" s="78"/>
      <c r="J371" s="78"/>
      <c r="O371" s="83"/>
      <c r="P371" s="84"/>
    </row>
    <row r="372">
      <c r="A372" s="83"/>
      <c r="B372" s="83"/>
      <c r="C372" s="83"/>
      <c r="F372" s="78"/>
      <c r="G372" s="78"/>
      <c r="H372" s="78"/>
      <c r="I372" s="78"/>
      <c r="J372" s="78"/>
      <c r="O372" s="83"/>
      <c r="P372" s="84"/>
    </row>
    <row r="373">
      <c r="A373" s="83"/>
      <c r="B373" s="83"/>
      <c r="C373" s="83"/>
      <c r="F373" s="78"/>
      <c r="G373" s="78"/>
      <c r="H373" s="78"/>
      <c r="I373" s="78"/>
      <c r="J373" s="78"/>
      <c r="O373" s="83"/>
      <c r="P373" s="84"/>
    </row>
    <row r="374">
      <c r="A374" s="83"/>
      <c r="B374" s="83"/>
      <c r="C374" s="83"/>
      <c r="F374" s="78"/>
      <c r="G374" s="78"/>
      <c r="H374" s="78"/>
      <c r="I374" s="78"/>
      <c r="J374" s="78"/>
      <c r="O374" s="83"/>
      <c r="P374" s="84"/>
    </row>
    <row r="375">
      <c r="A375" s="83"/>
      <c r="B375" s="83"/>
      <c r="C375" s="83"/>
      <c r="F375" s="78"/>
      <c r="G375" s="78"/>
      <c r="H375" s="78"/>
      <c r="I375" s="78"/>
      <c r="J375" s="78"/>
      <c r="O375" s="83"/>
      <c r="P375" s="84"/>
    </row>
    <row r="376">
      <c r="A376" s="83"/>
      <c r="B376" s="83"/>
      <c r="C376" s="83"/>
      <c r="F376" s="78"/>
      <c r="G376" s="78"/>
      <c r="H376" s="78"/>
      <c r="I376" s="78"/>
      <c r="J376" s="78"/>
      <c r="O376" s="83"/>
      <c r="P376" s="84"/>
    </row>
    <row r="377">
      <c r="A377" s="83"/>
      <c r="B377" s="83"/>
      <c r="C377" s="83"/>
      <c r="F377" s="78"/>
      <c r="G377" s="78"/>
      <c r="H377" s="78"/>
      <c r="I377" s="78"/>
      <c r="J377" s="78"/>
      <c r="O377" s="83"/>
      <c r="P377" s="84"/>
    </row>
    <row r="378">
      <c r="A378" s="83"/>
      <c r="B378" s="83"/>
      <c r="C378" s="83"/>
      <c r="F378" s="78"/>
      <c r="G378" s="78"/>
      <c r="H378" s="78"/>
      <c r="I378" s="78"/>
      <c r="J378" s="78"/>
      <c r="O378" s="83"/>
      <c r="P378" s="84"/>
    </row>
    <row r="379">
      <c r="A379" s="83"/>
      <c r="B379" s="83"/>
      <c r="C379" s="83"/>
      <c r="F379" s="78"/>
      <c r="G379" s="78"/>
      <c r="H379" s="78"/>
      <c r="I379" s="78"/>
      <c r="J379" s="78"/>
      <c r="O379" s="83"/>
      <c r="P379" s="84"/>
    </row>
    <row r="380">
      <c r="A380" s="83"/>
      <c r="B380" s="83"/>
      <c r="C380" s="83"/>
      <c r="F380" s="78"/>
      <c r="G380" s="78"/>
      <c r="H380" s="78"/>
      <c r="I380" s="78"/>
      <c r="J380" s="78"/>
      <c r="O380" s="83"/>
      <c r="P380" s="84"/>
    </row>
    <row r="381">
      <c r="A381" s="83"/>
      <c r="B381" s="83"/>
      <c r="C381" s="83"/>
      <c r="F381" s="78"/>
      <c r="G381" s="78"/>
      <c r="H381" s="78"/>
      <c r="I381" s="78"/>
      <c r="J381" s="78"/>
      <c r="O381" s="83"/>
      <c r="P381" s="84"/>
    </row>
    <row r="382">
      <c r="A382" s="83"/>
      <c r="B382" s="83"/>
      <c r="C382" s="83"/>
      <c r="F382" s="78"/>
      <c r="G382" s="78"/>
      <c r="H382" s="78"/>
      <c r="I382" s="78"/>
      <c r="J382" s="78"/>
      <c r="O382" s="83"/>
      <c r="P382" s="84"/>
    </row>
    <row r="383">
      <c r="A383" s="83"/>
      <c r="B383" s="83"/>
      <c r="C383" s="83"/>
      <c r="F383" s="78"/>
      <c r="G383" s="78"/>
      <c r="H383" s="78"/>
      <c r="I383" s="78"/>
      <c r="J383" s="78"/>
      <c r="O383" s="83"/>
      <c r="P383" s="84"/>
    </row>
    <row r="384">
      <c r="A384" s="83"/>
      <c r="B384" s="83"/>
      <c r="C384" s="83"/>
      <c r="F384" s="78"/>
      <c r="G384" s="78"/>
      <c r="H384" s="78"/>
      <c r="I384" s="78"/>
      <c r="J384" s="78"/>
      <c r="O384" s="83"/>
      <c r="P384" s="84"/>
    </row>
    <row r="385">
      <c r="A385" s="83"/>
      <c r="B385" s="83"/>
      <c r="C385" s="83"/>
      <c r="F385" s="78"/>
      <c r="G385" s="78"/>
      <c r="H385" s="78"/>
      <c r="I385" s="78"/>
      <c r="J385" s="78"/>
      <c r="O385" s="83"/>
      <c r="P385" s="84"/>
    </row>
    <row r="386">
      <c r="A386" s="83"/>
      <c r="B386" s="83"/>
      <c r="C386" s="83"/>
      <c r="F386" s="78"/>
      <c r="G386" s="78"/>
      <c r="H386" s="78"/>
      <c r="I386" s="78"/>
      <c r="J386" s="78"/>
      <c r="O386" s="83"/>
      <c r="P386" s="84"/>
    </row>
    <row r="387">
      <c r="A387" s="83"/>
      <c r="B387" s="83"/>
      <c r="C387" s="83"/>
      <c r="F387" s="78"/>
      <c r="G387" s="78"/>
      <c r="H387" s="78"/>
      <c r="I387" s="78"/>
      <c r="J387" s="78"/>
      <c r="O387" s="83"/>
      <c r="P387" s="84"/>
    </row>
    <row r="388">
      <c r="A388" s="83"/>
      <c r="B388" s="83"/>
      <c r="C388" s="83"/>
      <c r="F388" s="78"/>
      <c r="G388" s="78"/>
      <c r="H388" s="78"/>
      <c r="I388" s="78"/>
      <c r="J388" s="78"/>
      <c r="O388" s="83"/>
      <c r="P388" s="84"/>
    </row>
    <row r="389">
      <c r="A389" s="83"/>
      <c r="B389" s="83"/>
      <c r="C389" s="83"/>
      <c r="F389" s="78"/>
      <c r="G389" s="78"/>
      <c r="H389" s="78"/>
      <c r="I389" s="78"/>
      <c r="J389" s="78"/>
      <c r="O389" s="83"/>
      <c r="P389" s="84"/>
    </row>
    <row r="390">
      <c r="A390" s="83"/>
      <c r="B390" s="83"/>
      <c r="C390" s="83"/>
      <c r="F390" s="78"/>
      <c r="G390" s="78"/>
      <c r="H390" s="78"/>
      <c r="I390" s="78"/>
      <c r="J390" s="78"/>
      <c r="O390" s="83"/>
      <c r="P390" s="84"/>
    </row>
    <row r="391">
      <c r="A391" s="83"/>
      <c r="B391" s="83"/>
      <c r="C391" s="83"/>
      <c r="F391" s="78"/>
      <c r="G391" s="78"/>
      <c r="H391" s="78"/>
      <c r="I391" s="78"/>
      <c r="J391" s="78"/>
      <c r="O391" s="83"/>
      <c r="P391" s="84"/>
    </row>
    <row r="392">
      <c r="A392" s="83"/>
      <c r="B392" s="83"/>
      <c r="C392" s="83"/>
      <c r="F392" s="78"/>
      <c r="G392" s="78"/>
      <c r="H392" s="78"/>
      <c r="I392" s="78"/>
      <c r="J392" s="78"/>
      <c r="O392" s="83"/>
      <c r="P392" s="84"/>
    </row>
    <row r="393">
      <c r="A393" s="83"/>
      <c r="B393" s="83"/>
      <c r="C393" s="83"/>
      <c r="F393" s="78"/>
      <c r="G393" s="78"/>
      <c r="H393" s="78"/>
      <c r="I393" s="78"/>
      <c r="J393" s="78"/>
      <c r="O393" s="83"/>
      <c r="P393" s="84"/>
    </row>
    <row r="394">
      <c r="A394" s="83"/>
      <c r="B394" s="83"/>
      <c r="C394" s="83"/>
      <c r="F394" s="78"/>
      <c r="G394" s="78"/>
      <c r="H394" s="78"/>
      <c r="I394" s="78"/>
      <c r="J394" s="78"/>
      <c r="O394" s="83"/>
      <c r="P394" s="84"/>
    </row>
    <row r="395">
      <c r="A395" s="83"/>
      <c r="B395" s="83"/>
      <c r="C395" s="83"/>
      <c r="F395" s="78"/>
      <c r="G395" s="78"/>
      <c r="H395" s="78"/>
      <c r="I395" s="78"/>
      <c r="J395" s="78"/>
      <c r="O395" s="83"/>
      <c r="P395" s="84"/>
    </row>
    <row r="396">
      <c r="A396" s="83"/>
      <c r="B396" s="83"/>
      <c r="C396" s="83"/>
      <c r="F396" s="78"/>
      <c r="G396" s="78"/>
      <c r="H396" s="78"/>
      <c r="I396" s="78"/>
      <c r="J396" s="78"/>
      <c r="O396" s="83"/>
      <c r="P396" s="84"/>
    </row>
    <row r="397">
      <c r="A397" s="83"/>
      <c r="B397" s="83"/>
      <c r="C397" s="83"/>
      <c r="F397" s="78"/>
      <c r="G397" s="78"/>
      <c r="H397" s="78"/>
      <c r="I397" s="78"/>
      <c r="J397" s="78"/>
      <c r="O397" s="83"/>
      <c r="P397" s="84"/>
    </row>
    <row r="398">
      <c r="A398" s="83"/>
      <c r="B398" s="83"/>
      <c r="C398" s="83"/>
      <c r="F398" s="78"/>
      <c r="G398" s="78"/>
      <c r="H398" s="78"/>
      <c r="I398" s="78"/>
      <c r="J398" s="78"/>
      <c r="O398" s="83"/>
      <c r="P398" s="84"/>
    </row>
    <row r="399">
      <c r="A399" s="83"/>
      <c r="B399" s="83"/>
      <c r="C399" s="83"/>
      <c r="F399" s="78"/>
      <c r="G399" s="78"/>
      <c r="H399" s="78"/>
      <c r="I399" s="78"/>
      <c r="J399" s="78"/>
      <c r="O399" s="83"/>
      <c r="P399" s="84"/>
    </row>
    <row r="400">
      <c r="A400" s="83"/>
      <c r="B400" s="83"/>
      <c r="C400" s="83"/>
      <c r="F400" s="78"/>
      <c r="G400" s="78"/>
      <c r="H400" s="78"/>
      <c r="I400" s="78"/>
      <c r="J400" s="78"/>
      <c r="O400" s="83"/>
      <c r="P400" s="84"/>
    </row>
    <row r="401">
      <c r="A401" s="83"/>
      <c r="B401" s="83"/>
      <c r="C401" s="83"/>
      <c r="F401" s="78"/>
      <c r="G401" s="78"/>
      <c r="H401" s="78"/>
      <c r="I401" s="78"/>
      <c r="J401" s="78"/>
      <c r="O401" s="83"/>
      <c r="P401" s="84"/>
    </row>
    <row r="402">
      <c r="A402" s="83"/>
      <c r="B402" s="83"/>
      <c r="C402" s="83"/>
      <c r="F402" s="78"/>
      <c r="G402" s="78"/>
      <c r="H402" s="78"/>
      <c r="I402" s="78"/>
      <c r="J402" s="78"/>
      <c r="O402" s="83"/>
      <c r="P402" s="84"/>
    </row>
    <row r="403">
      <c r="A403" s="83"/>
      <c r="B403" s="83"/>
      <c r="C403" s="83"/>
      <c r="F403" s="78"/>
      <c r="G403" s="78"/>
      <c r="H403" s="78"/>
      <c r="I403" s="78"/>
      <c r="J403" s="78"/>
      <c r="O403" s="83"/>
      <c r="P403" s="84"/>
    </row>
    <row r="404">
      <c r="A404" s="83"/>
      <c r="B404" s="83"/>
      <c r="C404" s="83"/>
      <c r="F404" s="78"/>
      <c r="G404" s="78"/>
      <c r="H404" s="78"/>
      <c r="I404" s="78"/>
      <c r="J404" s="78"/>
      <c r="O404" s="83"/>
      <c r="P404" s="84"/>
    </row>
    <row r="405">
      <c r="A405" s="83"/>
      <c r="B405" s="83"/>
      <c r="C405" s="83"/>
      <c r="F405" s="78"/>
      <c r="G405" s="78"/>
      <c r="H405" s="78"/>
      <c r="I405" s="78"/>
      <c r="J405" s="78"/>
      <c r="O405" s="83"/>
      <c r="P405" s="84"/>
    </row>
    <row r="406">
      <c r="A406" s="83"/>
      <c r="B406" s="83"/>
      <c r="C406" s="83"/>
      <c r="F406" s="78"/>
      <c r="G406" s="78"/>
      <c r="H406" s="78"/>
      <c r="I406" s="78"/>
      <c r="J406" s="78"/>
      <c r="O406" s="83"/>
      <c r="P406" s="84"/>
    </row>
    <row r="407">
      <c r="A407" s="83"/>
      <c r="B407" s="83"/>
      <c r="C407" s="83"/>
      <c r="F407" s="78"/>
      <c r="G407" s="78"/>
      <c r="H407" s="78"/>
      <c r="I407" s="78"/>
      <c r="J407" s="78"/>
      <c r="O407" s="83"/>
      <c r="P407" s="84"/>
    </row>
    <row r="408">
      <c r="A408" s="83"/>
      <c r="B408" s="83"/>
      <c r="C408" s="83"/>
      <c r="F408" s="78"/>
      <c r="G408" s="78"/>
      <c r="H408" s="78"/>
      <c r="I408" s="78"/>
      <c r="J408" s="78"/>
      <c r="O408" s="83"/>
      <c r="P408" s="84"/>
    </row>
    <row r="409">
      <c r="A409" s="83"/>
      <c r="B409" s="83"/>
      <c r="C409" s="83"/>
      <c r="F409" s="78"/>
      <c r="G409" s="78"/>
      <c r="H409" s="78"/>
      <c r="I409" s="78"/>
      <c r="J409" s="78"/>
      <c r="O409" s="83"/>
      <c r="P409" s="84"/>
    </row>
    <row r="410">
      <c r="A410" s="83"/>
      <c r="B410" s="83"/>
      <c r="C410" s="83"/>
      <c r="F410" s="78"/>
      <c r="G410" s="78"/>
      <c r="H410" s="78"/>
      <c r="I410" s="78"/>
      <c r="J410" s="78"/>
      <c r="O410" s="83"/>
      <c r="P410" s="84"/>
    </row>
    <row r="411">
      <c r="A411" s="83"/>
      <c r="B411" s="83"/>
      <c r="C411" s="83"/>
      <c r="F411" s="78"/>
      <c r="G411" s="78"/>
      <c r="H411" s="78"/>
      <c r="I411" s="78"/>
      <c r="J411" s="78"/>
      <c r="O411" s="83"/>
      <c r="P411" s="84"/>
    </row>
    <row r="412">
      <c r="A412" s="83"/>
      <c r="B412" s="83"/>
      <c r="C412" s="83"/>
      <c r="F412" s="78"/>
      <c r="G412" s="78"/>
      <c r="H412" s="78"/>
      <c r="I412" s="78"/>
      <c r="J412" s="78"/>
      <c r="O412" s="83"/>
      <c r="P412" s="84"/>
    </row>
    <row r="413">
      <c r="A413" s="83"/>
      <c r="B413" s="83"/>
      <c r="C413" s="83"/>
      <c r="F413" s="78"/>
      <c r="G413" s="78"/>
      <c r="H413" s="78"/>
      <c r="I413" s="78"/>
      <c r="J413" s="78"/>
      <c r="O413" s="83"/>
      <c r="P413" s="84"/>
    </row>
    <row r="414">
      <c r="A414" s="83"/>
      <c r="B414" s="83"/>
      <c r="C414" s="83"/>
      <c r="F414" s="78"/>
      <c r="G414" s="78"/>
      <c r="H414" s="78"/>
      <c r="I414" s="78"/>
      <c r="J414" s="78"/>
      <c r="O414" s="83"/>
      <c r="P414" s="84"/>
    </row>
    <row r="415">
      <c r="A415" s="83"/>
      <c r="B415" s="83"/>
      <c r="C415" s="83"/>
      <c r="F415" s="78"/>
      <c r="G415" s="78"/>
      <c r="H415" s="78"/>
      <c r="I415" s="78"/>
      <c r="J415" s="78"/>
      <c r="O415" s="83"/>
      <c r="P415" s="84"/>
    </row>
    <row r="416">
      <c r="A416" s="83"/>
      <c r="B416" s="83"/>
      <c r="C416" s="83"/>
      <c r="F416" s="78"/>
      <c r="G416" s="78"/>
      <c r="H416" s="78"/>
      <c r="I416" s="78"/>
      <c r="J416" s="78"/>
      <c r="O416" s="83"/>
      <c r="P416" s="84"/>
    </row>
    <row r="417">
      <c r="A417" s="83"/>
      <c r="B417" s="83"/>
      <c r="C417" s="83"/>
      <c r="F417" s="78"/>
      <c r="G417" s="78"/>
      <c r="H417" s="78"/>
      <c r="I417" s="78"/>
      <c r="J417" s="78"/>
      <c r="O417" s="83"/>
      <c r="P417" s="84"/>
    </row>
    <row r="418">
      <c r="A418" s="83"/>
      <c r="B418" s="83"/>
      <c r="C418" s="83"/>
      <c r="F418" s="78"/>
      <c r="G418" s="78"/>
      <c r="H418" s="78"/>
      <c r="I418" s="78"/>
      <c r="J418" s="78"/>
      <c r="O418" s="83"/>
      <c r="P418" s="84"/>
    </row>
    <row r="419">
      <c r="A419" s="83"/>
      <c r="B419" s="83"/>
      <c r="C419" s="83"/>
      <c r="F419" s="78"/>
      <c r="G419" s="78"/>
      <c r="H419" s="78"/>
      <c r="I419" s="78"/>
      <c r="J419" s="78"/>
      <c r="O419" s="83"/>
      <c r="P419" s="84"/>
    </row>
    <row r="420">
      <c r="A420" s="83"/>
      <c r="B420" s="83"/>
      <c r="C420" s="83"/>
      <c r="F420" s="78"/>
      <c r="G420" s="78"/>
      <c r="H420" s="78"/>
      <c r="I420" s="78"/>
      <c r="J420" s="78"/>
      <c r="O420" s="83"/>
      <c r="P420" s="84"/>
    </row>
    <row r="421">
      <c r="A421" s="83"/>
      <c r="B421" s="83"/>
      <c r="C421" s="83"/>
      <c r="F421" s="78"/>
      <c r="G421" s="78"/>
      <c r="H421" s="78"/>
      <c r="I421" s="78"/>
      <c r="J421" s="78"/>
      <c r="O421" s="83"/>
      <c r="P421" s="84"/>
    </row>
    <row r="422">
      <c r="A422" s="83"/>
      <c r="B422" s="83"/>
      <c r="C422" s="83"/>
      <c r="F422" s="78"/>
      <c r="G422" s="78"/>
      <c r="H422" s="78"/>
      <c r="I422" s="78"/>
      <c r="J422" s="78"/>
      <c r="O422" s="83"/>
      <c r="P422" s="84"/>
    </row>
    <row r="423">
      <c r="A423" s="83"/>
      <c r="B423" s="83"/>
      <c r="C423" s="83"/>
      <c r="F423" s="78"/>
      <c r="G423" s="78"/>
      <c r="H423" s="78"/>
      <c r="I423" s="78"/>
      <c r="J423" s="78"/>
      <c r="O423" s="83"/>
      <c r="P423" s="84"/>
    </row>
    <row r="424">
      <c r="A424" s="83"/>
      <c r="B424" s="83"/>
      <c r="C424" s="83"/>
      <c r="F424" s="78"/>
      <c r="G424" s="78"/>
      <c r="H424" s="78"/>
      <c r="I424" s="78"/>
      <c r="J424" s="78"/>
      <c r="O424" s="83"/>
      <c r="P424" s="84"/>
    </row>
    <row r="425">
      <c r="A425" s="83"/>
      <c r="B425" s="83"/>
      <c r="C425" s="83"/>
      <c r="F425" s="78"/>
      <c r="G425" s="78"/>
      <c r="H425" s="78"/>
      <c r="I425" s="78"/>
      <c r="J425" s="78"/>
      <c r="O425" s="83"/>
      <c r="P425" s="84"/>
    </row>
    <row r="426">
      <c r="A426" s="83"/>
      <c r="B426" s="83"/>
      <c r="C426" s="83"/>
      <c r="F426" s="78"/>
      <c r="G426" s="78"/>
      <c r="H426" s="78"/>
      <c r="I426" s="78"/>
      <c r="J426" s="78"/>
      <c r="O426" s="83"/>
      <c r="P426" s="84"/>
    </row>
    <row r="427">
      <c r="A427" s="83"/>
      <c r="B427" s="83"/>
      <c r="C427" s="83"/>
      <c r="F427" s="78"/>
      <c r="G427" s="78"/>
      <c r="H427" s="78"/>
      <c r="I427" s="78"/>
      <c r="J427" s="78"/>
      <c r="O427" s="83"/>
      <c r="P427" s="84"/>
    </row>
    <row r="428">
      <c r="A428" s="83"/>
      <c r="B428" s="83"/>
      <c r="C428" s="83"/>
      <c r="F428" s="78"/>
      <c r="G428" s="78"/>
      <c r="H428" s="78"/>
      <c r="I428" s="78"/>
      <c r="J428" s="78"/>
      <c r="O428" s="83"/>
      <c r="P428" s="84"/>
    </row>
    <row r="429">
      <c r="A429" s="83"/>
      <c r="B429" s="83"/>
      <c r="C429" s="83"/>
      <c r="F429" s="78"/>
      <c r="G429" s="78"/>
      <c r="H429" s="78"/>
      <c r="I429" s="78"/>
      <c r="J429" s="78"/>
      <c r="O429" s="83"/>
      <c r="P429" s="84"/>
    </row>
    <row r="430">
      <c r="A430" s="83"/>
      <c r="B430" s="83"/>
      <c r="C430" s="83"/>
      <c r="F430" s="78"/>
      <c r="G430" s="78"/>
      <c r="H430" s="78"/>
      <c r="I430" s="78"/>
      <c r="J430" s="78"/>
      <c r="O430" s="83"/>
      <c r="P430" s="84"/>
    </row>
    <row r="431">
      <c r="A431" s="83"/>
      <c r="B431" s="83"/>
      <c r="C431" s="83"/>
      <c r="F431" s="78"/>
      <c r="G431" s="78"/>
      <c r="H431" s="78"/>
      <c r="I431" s="78"/>
      <c r="J431" s="78"/>
      <c r="O431" s="83"/>
      <c r="P431" s="84"/>
    </row>
    <row r="432">
      <c r="A432" s="83"/>
      <c r="B432" s="83"/>
      <c r="C432" s="83"/>
      <c r="F432" s="78"/>
      <c r="G432" s="78"/>
      <c r="H432" s="78"/>
      <c r="I432" s="78"/>
      <c r="J432" s="78"/>
      <c r="O432" s="83"/>
      <c r="P432" s="84"/>
    </row>
    <row r="433">
      <c r="A433" s="83"/>
      <c r="B433" s="83"/>
      <c r="C433" s="83"/>
      <c r="F433" s="78"/>
      <c r="G433" s="78"/>
      <c r="H433" s="78"/>
      <c r="I433" s="78"/>
      <c r="J433" s="78"/>
      <c r="O433" s="83"/>
      <c r="P433" s="84"/>
    </row>
    <row r="434">
      <c r="A434" s="83"/>
      <c r="B434" s="83"/>
      <c r="C434" s="83"/>
      <c r="F434" s="78"/>
      <c r="G434" s="78"/>
      <c r="H434" s="78"/>
      <c r="I434" s="78"/>
      <c r="J434" s="78"/>
      <c r="O434" s="83"/>
      <c r="P434" s="84"/>
    </row>
    <row r="435">
      <c r="A435" s="83"/>
      <c r="B435" s="83"/>
      <c r="C435" s="83"/>
      <c r="F435" s="78"/>
      <c r="G435" s="78"/>
      <c r="H435" s="78"/>
      <c r="I435" s="78"/>
      <c r="J435" s="78"/>
      <c r="O435" s="83"/>
      <c r="P435" s="84"/>
    </row>
    <row r="436">
      <c r="A436" s="83"/>
      <c r="B436" s="83"/>
      <c r="C436" s="83"/>
      <c r="F436" s="78"/>
      <c r="G436" s="78"/>
      <c r="H436" s="78"/>
      <c r="I436" s="78"/>
      <c r="J436" s="78"/>
      <c r="O436" s="83"/>
      <c r="P436" s="84"/>
    </row>
    <row r="437">
      <c r="A437" s="83"/>
      <c r="B437" s="83"/>
      <c r="C437" s="83"/>
      <c r="F437" s="78"/>
      <c r="G437" s="78"/>
      <c r="H437" s="78"/>
      <c r="I437" s="78"/>
      <c r="J437" s="78"/>
      <c r="O437" s="83"/>
      <c r="P437" s="84"/>
    </row>
    <row r="438">
      <c r="A438" s="83"/>
      <c r="B438" s="83"/>
      <c r="C438" s="83"/>
      <c r="F438" s="78"/>
      <c r="G438" s="78"/>
      <c r="H438" s="78"/>
      <c r="I438" s="78"/>
      <c r="J438" s="78"/>
      <c r="O438" s="83"/>
      <c r="P438" s="84"/>
    </row>
    <row r="439">
      <c r="A439" s="83"/>
      <c r="B439" s="83"/>
      <c r="C439" s="83"/>
      <c r="F439" s="78"/>
      <c r="G439" s="78"/>
      <c r="H439" s="78"/>
      <c r="I439" s="78"/>
      <c r="J439" s="78"/>
      <c r="O439" s="83"/>
      <c r="P439" s="84"/>
    </row>
    <row r="440">
      <c r="A440" s="83"/>
      <c r="B440" s="83"/>
      <c r="C440" s="83"/>
      <c r="F440" s="78"/>
      <c r="G440" s="78"/>
      <c r="H440" s="78"/>
      <c r="I440" s="78"/>
      <c r="J440" s="78"/>
      <c r="O440" s="83"/>
      <c r="P440" s="84"/>
    </row>
    <row r="441">
      <c r="A441" s="83"/>
      <c r="B441" s="83"/>
      <c r="C441" s="83"/>
      <c r="F441" s="78"/>
      <c r="G441" s="78"/>
      <c r="H441" s="78"/>
      <c r="I441" s="78"/>
      <c r="J441" s="78"/>
      <c r="O441" s="83"/>
      <c r="P441" s="84"/>
    </row>
    <row r="442">
      <c r="A442" s="83"/>
      <c r="B442" s="83"/>
      <c r="C442" s="83"/>
      <c r="F442" s="78"/>
      <c r="G442" s="78"/>
      <c r="H442" s="78"/>
      <c r="I442" s="78"/>
      <c r="J442" s="78"/>
      <c r="O442" s="83"/>
      <c r="P442" s="84"/>
    </row>
    <row r="443">
      <c r="A443" s="83"/>
      <c r="B443" s="83"/>
      <c r="C443" s="83"/>
      <c r="F443" s="78"/>
      <c r="G443" s="78"/>
      <c r="H443" s="78"/>
      <c r="I443" s="78"/>
      <c r="J443" s="78"/>
      <c r="O443" s="83"/>
      <c r="P443" s="84"/>
    </row>
    <row r="444">
      <c r="A444" s="83"/>
      <c r="B444" s="83"/>
      <c r="C444" s="83"/>
      <c r="F444" s="78"/>
      <c r="G444" s="78"/>
      <c r="H444" s="78"/>
      <c r="I444" s="78"/>
      <c r="J444" s="78"/>
      <c r="O444" s="83"/>
      <c r="P444" s="84"/>
    </row>
    <row r="445">
      <c r="A445" s="83"/>
      <c r="B445" s="83"/>
      <c r="C445" s="83"/>
      <c r="F445" s="78"/>
      <c r="G445" s="78"/>
      <c r="H445" s="78"/>
      <c r="I445" s="78"/>
      <c r="J445" s="78"/>
      <c r="O445" s="83"/>
      <c r="P445" s="84"/>
    </row>
    <row r="446">
      <c r="A446" s="83"/>
      <c r="B446" s="83"/>
      <c r="C446" s="83"/>
      <c r="F446" s="78"/>
      <c r="G446" s="78"/>
      <c r="H446" s="78"/>
      <c r="I446" s="78"/>
      <c r="J446" s="78"/>
      <c r="O446" s="83"/>
      <c r="P446" s="84"/>
    </row>
    <row r="447">
      <c r="A447" s="83"/>
      <c r="B447" s="83"/>
      <c r="C447" s="83"/>
      <c r="F447" s="78"/>
      <c r="G447" s="78"/>
      <c r="H447" s="78"/>
      <c r="I447" s="78"/>
      <c r="J447" s="78"/>
      <c r="O447" s="83"/>
      <c r="P447" s="84"/>
    </row>
    <row r="448">
      <c r="A448" s="83"/>
      <c r="B448" s="83"/>
      <c r="C448" s="83"/>
      <c r="F448" s="78"/>
      <c r="G448" s="78"/>
      <c r="H448" s="78"/>
      <c r="I448" s="78"/>
      <c r="J448" s="78"/>
      <c r="O448" s="83"/>
      <c r="P448" s="84"/>
    </row>
    <row r="449">
      <c r="A449" s="83"/>
      <c r="B449" s="83"/>
      <c r="C449" s="83"/>
      <c r="F449" s="78"/>
      <c r="G449" s="78"/>
      <c r="H449" s="78"/>
      <c r="I449" s="78"/>
      <c r="J449" s="78"/>
      <c r="O449" s="83"/>
      <c r="P449" s="84"/>
    </row>
    <row r="450">
      <c r="A450" s="83"/>
      <c r="B450" s="83"/>
      <c r="C450" s="83"/>
      <c r="F450" s="78"/>
      <c r="G450" s="78"/>
      <c r="H450" s="78"/>
      <c r="I450" s="78"/>
      <c r="J450" s="78"/>
      <c r="O450" s="83"/>
      <c r="P450" s="84"/>
    </row>
    <row r="451">
      <c r="A451" s="83"/>
      <c r="B451" s="83"/>
      <c r="C451" s="83"/>
      <c r="F451" s="78"/>
      <c r="G451" s="78"/>
      <c r="H451" s="78"/>
      <c r="I451" s="78"/>
      <c r="J451" s="78"/>
      <c r="O451" s="83"/>
      <c r="P451" s="84"/>
    </row>
    <row r="452">
      <c r="A452" s="83"/>
      <c r="B452" s="83"/>
      <c r="C452" s="83"/>
      <c r="F452" s="78"/>
      <c r="G452" s="78"/>
      <c r="H452" s="78"/>
      <c r="I452" s="78"/>
      <c r="J452" s="78"/>
      <c r="O452" s="83"/>
      <c r="P452" s="84"/>
    </row>
    <row r="453">
      <c r="A453" s="83"/>
      <c r="B453" s="83"/>
      <c r="C453" s="83"/>
      <c r="F453" s="78"/>
      <c r="G453" s="78"/>
      <c r="H453" s="78"/>
      <c r="I453" s="78"/>
      <c r="J453" s="78"/>
      <c r="O453" s="83"/>
      <c r="P453" s="84"/>
    </row>
    <row r="454">
      <c r="A454" s="83"/>
      <c r="B454" s="83"/>
      <c r="C454" s="83"/>
      <c r="F454" s="78"/>
      <c r="G454" s="78"/>
      <c r="H454" s="78"/>
      <c r="I454" s="78"/>
      <c r="J454" s="78"/>
      <c r="O454" s="83"/>
      <c r="P454" s="84"/>
    </row>
    <row r="455">
      <c r="A455" s="83"/>
      <c r="B455" s="83"/>
      <c r="C455" s="83"/>
      <c r="F455" s="78"/>
      <c r="G455" s="78"/>
      <c r="H455" s="78"/>
      <c r="I455" s="78"/>
      <c r="J455" s="78"/>
      <c r="O455" s="83"/>
      <c r="P455" s="84"/>
    </row>
    <row r="456">
      <c r="A456" s="83"/>
      <c r="B456" s="83"/>
      <c r="C456" s="83"/>
      <c r="F456" s="78"/>
      <c r="G456" s="78"/>
      <c r="H456" s="78"/>
      <c r="I456" s="78"/>
      <c r="J456" s="78"/>
      <c r="O456" s="83"/>
      <c r="P456" s="84"/>
    </row>
    <row r="457">
      <c r="A457" s="83"/>
      <c r="B457" s="83"/>
      <c r="C457" s="83"/>
      <c r="F457" s="78"/>
      <c r="G457" s="78"/>
      <c r="H457" s="78"/>
      <c r="I457" s="78"/>
      <c r="J457" s="78"/>
      <c r="O457" s="83"/>
      <c r="P457" s="84"/>
    </row>
    <row r="458">
      <c r="A458" s="83"/>
      <c r="B458" s="83"/>
      <c r="C458" s="83"/>
      <c r="F458" s="78"/>
      <c r="G458" s="78"/>
      <c r="H458" s="78"/>
      <c r="I458" s="78"/>
      <c r="J458" s="78"/>
      <c r="O458" s="83"/>
      <c r="P458" s="84"/>
    </row>
    <row r="459">
      <c r="A459" s="83"/>
      <c r="B459" s="83"/>
      <c r="C459" s="83"/>
      <c r="F459" s="78"/>
      <c r="G459" s="78"/>
      <c r="H459" s="78"/>
      <c r="I459" s="78"/>
      <c r="J459" s="78"/>
      <c r="O459" s="83"/>
      <c r="P459" s="84"/>
    </row>
    <row r="460">
      <c r="A460" s="83"/>
      <c r="B460" s="83"/>
      <c r="C460" s="83"/>
      <c r="F460" s="78"/>
      <c r="G460" s="78"/>
      <c r="H460" s="78"/>
      <c r="I460" s="78"/>
      <c r="J460" s="78"/>
      <c r="O460" s="83"/>
      <c r="P460" s="84"/>
    </row>
    <row r="461">
      <c r="A461" s="83"/>
      <c r="B461" s="83"/>
      <c r="C461" s="83"/>
      <c r="F461" s="78"/>
      <c r="G461" s="78"/>
      <c r="H461" s="78"/>
      <c r="I461" s="78"/>
      <c r="J461" s="78"/>
      <c r="O461" s="83"/>
      <c r="P461" s="84"/>
    </row>
    <row r="462">
      <c r="A462" s="83"/>
      <c r="B462" s="83"/>
      <c r="C462" s="83"/>
      <c r="F462" s="78"/>
      <c r="G462" s="78"/>
      <c r="H462" s="78"/>
      <c r="I462" s="78"/>
      <c r="J462" s="78"/>
      <c r="O462" s="83"/>
      <c r="P462" s="84"/>
    </row>
    <row r="463">
      <c r="A463" s="83"/>
      <c r="B463" s="83"/>
      <c r="C463" s="83"/>
      <c r="F463" s="78"/>
      <c r="G463" s="78"/>
      <c r="H463" s="78"/>
      <c r="I463" s="78"/>
      <c r="J463" s="78"/>
      <c r="O463" s="83"/>
      <c r="P463" s="84"/>
    </row>
    <row r="464">
      <c r="A464" s="83"/>
      <c r="B464" s="83"/>
      <c r="C464" s="83"/>
      <c r="F464" s="78"/>
      <c r="G464" s="78"/>
      <c r="H464" s="78"/>
      <c r="I464" s="78"/>
      <c r="J464" s="78"/>
      <c r="O464" s="83"/>
      <c r="P464" s="84"/>
    </row>
    <row r="465">
      <c r="A465" s="83"/>
      <c r="B465" s="83"/>
      <c r="C465" s="83"/>
      <c r="F465" s="78"/>
      <c r="G465" s="78"/>
      <c r="H465" s="78"/>
      <c r="I465" s="78"/>
      <c r="J465" s="78"/>
      <c r="O465" s="83"/>
      <c r="P465" s="84"/>
    </row>
    <row r="466">
      <c r="A466" s="83"/>
      <c r="B466" s="83"/>
      <c r="C466" s="83"/>
      <c r="F466" s="78"/>
      <c r="G466" s="78"/>
      <c r="H466" s="78"/>
      <c r="I466" s="78"/>
      <c r="J466" s="78"/>
      <c r="O466" s="83"/>
      <c r="P466" s="84"/>
    </row>
    <row r="467">
      <c r="A467" s="83"/>
      <c r="B467" s="83"/>
      <c r="C467" s="83"/>
      <c r="F467" s="78"/>
      <c r="G467" s="78"/>
      <c r="H467" s="78"/>
      <c r="I467" s="78"/>
      <c r="J467" s="78"/>
      <c r="O467" s="83"/>
      <c r="P467" s="84"/>
    </row>
    <row r="468">
      <c r="A468" s="83"/>
      <c r="B468" s="83"/>
      <c r="C468" s="83"/>
      <c r="F468" s="78"/>
      <c r="G468" s="78"/>
      <c r="H468" s="78"/>
      <c r="I468" s="78"/>
      <c r="J468" s="78"/>
      <c r="O468" s="83"/>
      <c r="P468" s="84"/>
    </row>
    <row r="469">
      <c r="A469" s="83"/>
      <c r="B469" s="83"/>
      <c r="C469" s="83"/>
      <c r="F469" s="78"/>
      <c r="G469" s="78"/>
      <c r="H469" s="78"/>
      <c r="I469" s="78"/>
      <c r="J469" s="78"/>
      <c r="O469" s="83"/>
      <c r="P469" s="84"/>
    </row>
    <row r="470">
      <c r="A470" s="83"/>
      <c r="B470" s="83"/>
      <c r="C470" s="83"/>
      <c r="F470" s="78"/>
      <c r="G470" s="78"/>
      <c r="H470" s="78"/>
      <c r="I470" s="78"/>
      <c r="J470" s="78"/>
      <c r="O470" s="83"/>
      <c r="P470" s="84"/>
    </row>
    <row r="471">
      <c r="A471" s="83"/>
      <c r="B471" s="83"/>
      <c r="C471" s="83"/>
      <c r="F471" s="78"/>
      <c r="G471" s="78"/>
      <c r="H471" s="78"/>
      <c r="I471" s="78"/>
      <c r="J471" s="78"/>
      <c r="O471" s="83"/>
      <c r="P471" s="84"/>
    </row>
    <row r="472">
      <c r="A472" s="83"/>
      <c r="B472" s="83"/>
      <c r="C472" s="83"/>
      <c r="F472" s="78"/>
      <c r="G472" s="78"/>
      <c r="H472" s="78"/>
      <c r="I472" s="78"/>
      <c r="J472" s="78"/>
      <c r="O472" s="83"/>
      <c r="P472" s="84"/>
    </row>
    <row r="473">
      <c r="A473" s="83"/>
      <c r="B473" s="83"/>
      <c r="C473" s="83"/>
      <c r="F473" s="78"/>
      <c r="G473" s="78"/>
      <c r="H473" s="78"/>
      <c r="I473" s="78"/>
      <c r="J473" s="78"/>
      <c r="O473" s="83"/>
      <c r="P473" s="84"/>
    </row>
    <row r="474">
      <c r="A474" s="83"/>
      <c r="B474" s="83"/>
      <c r="C474" s="83"/>
      <c r="F474" s="78"/>
      <c r="G474" s="78"/>
      <c r="H474" s="78"/>
      <c r="I474" s="78"/>
      <c r="J474" s="78"/>
      <c r="O474" s="83"/>
      <c r="P474" s="84"/>
    </row>
    <row r="475">
      <c r="A475" s="83"/>
      <c r="B475" s="83"/>
      <c r="C475" s="83"/>
      <c r="F475" s="78"/>
      <c r="G475" s="78"/>
      <c r="H475" s="78"/>
      <c r="I475" s="78"/>
      <c r="J475" s="78"/>
      <c r="O475" s="83"/>
      <c r="P475" s="84"/>
    </row>
    <row r="476">
      <c r="A476" s="83"/>
      <c r="B476" s="83"/>
      <c r="C476" s="83"/>
      <c r="F476" s="78"/>
      <c r="G476" s="78"/>
      <c r="H476" s="78"/>
      <c r="I476" s="78"/>
      <c r="J476" s="78"/>
      <c r="O476" s="83"/>
      <c r="P476" s="84"/>
    </row>
    <row r="477">
      <c r="A477" s="83"/>
      <c r="B477" s="83"/>
      <c r="C477" s="83"/>
      <c r="F477" s="78"/>
      <c r="G477" s="78"/>
      <c r="H477" s="78"/>
      <c r="I477" s="78"/>
      <c r="J477" s="78"/>
      <c r="O477" s="83"/>
      <c r="P477" s="84"/>
    </row>
    <row r="478">
      <c r="A478" s="83"/>
      <c r="B478" s="83"/>
      <c r="C478" s="83"/>
      <c r="F478" s="78"/>
      <c r="G478" s="78"/>
      <c r="H478" s="78"/>
      <c r="I478" s="78"/>
      <c r="J478" s="78"/>
      <c r="O478" s="83"/>
      <c r="P478" s="84"/>
    </row>
    <row r="479">
      <c r="A479" s="83"/>
      <c r="B479" s="83"/>
      <c r="C479" s="83"/>
      <c r="F479" s="78"/>
      <c r="G479" s="78"/>
      <c r="H479" s="78"/>
      <c r="I479" s="78"/>
      <c r="J479" s="78"/>
      <c r="O479" s="83"/>
      <c r="P479" s="84"/>
    </row>
    <row r="480">
      <c r="A480" s="83"/>
      <c r="B480" s="83"/>
      <c r="C480" s="83"/>
      <c r="F480" s="78"/>
      <c r="G480" s="78"/>
      <c r="H480" s="78"/>
      <c r="I480" s="78"/>
      <c r="J480" s="78"/>
      <c r="O480" s="83"/>
      <c r="P480" s="84"/>
    </row>
    <row r="481">
      <c r="A481" s="83"/>
      <c r="B481" s="83"/>
      <c r="C481" s="83"/>
      <c r="F481" s="78"/>
      <c r="G481" s="78"/>
      <c r="H481" s="78"/>
      <c r="I481" s="78"/>
      <c r="J481" s="78"/>
      <c r="O481" s="83"/>
      <c r="P481" s="84"/>
    </row>
    <row r="482">
      <c r="A482" s="83"/>
      <c r="B482" s="83"/>
      <c r="C482" s="83"/>
      <c r="F482" s="78"/>
      <c r="G482" s="78"/>
      <c r="H482" s="78"/>
      <c r="I482" s="78"/>
      <c r="J482" s="78"/>
      <c r="O482" s="83"/>
      <c r="P482" s="84"/>
    </row>
    <row r="483">
      <c r="A483" s="83"/>
      <c r="B483" s="83"/>
      <c r="C483" s="83"/>
      <c r="F483" s="78"/>
      <c r="G483" s="78"/>
      <c r="H483" s="78"/>
      <c r="I483" s="78"/>
      <c r="J483" s="78"/>
      <c r="O483" s="83"/>
      <c r="P483" s="84"/>
    </row>
    <row r="484">
      <c r="A484" s="83"/>
      <c r="B484" s="83"/>
      <c r="C484" s="83"/>
      <c r="F484" s="78"/>
      <c r="G484" s="78"/>
      <c r="H484" s="78"/>
      <c r="I484" s="78"/>
      <c r="J484" s="78"/>
      <c r="O484" s="83"/>
      <c r="P484" s="84"/>
    </row>
    <row r="485">
      <c r="A485" s="83"/>
      <c r="B485" s="83"/>
      <c r="C485" s="83"/>
      <c r="F485" s="78"/>
      <c r="G485" s="78"/>
      <c r="H485" s="78"/>
      <c r="I485" s="78"/>
      <c r="J485" s="78"/>
      <c r="O485" s="83"/>
      <c r="P485" s="84"/>
    </row>
    <row r="486">
      <c r="A486" s="83"/>
      <c r="B486" s="83"/>
      <c r="C486" s="83"/>
      <c r="F486" s="78"/>
      <c r="G486" s="78"/>
      <c r="H486" s="78"/>
      <c r="I486" s="78"/>
      <c r="J486" s="78"/>
      <c r="O486" s="83"/>
      <c r="P486" s="84"/>
    </row>
    <row r="487">
      <c r="A487" s="83"/>
      <c r="B487" s="83"/>
      <c r="C487" s="83"/>
      <c r="F487" s="78"/>
      <c r="G487" s="78"/>
      <c r="H487" s="78"/>
      <c r="I487" s="78"/>
      <c r="J487" s="78"/>
      <c r="O487" s="83"/>
      <c r="P487" s="84"/>
    </row>
    <row r="488">
      <c r="A488" s="83"/>
      <c r="B488" s="83"/>
      <c r="C488" s="83"/>
      <c r="F488" s="78"/>
      <c r="G488" s="78"/>
      <c r="H488" s="78"/>
      <c r="I488" s="78"/>
      <c r="J488" s="78"/>
      <c r="O488" s="83"/>
      <c r="P488" s="84"/>
    </row>
    <row r="489">
      <c r="A489" s="83"/>
      <c r="B489" s="83"/>
      <c r="C489" s="83"/>
      <c r="F489" s="78"/>
      <c r="G489" s="78"/>
      <c r="H489" s="78"/>
      <c r="I489" s="78"/>
      <c r="J489" s="78"/>
      <c r="O489" s="83"/>
      <c r="P489" s="84"/>
    </row>
    <row r="490">
      <c r="A490" s="83"/>
      <c r="B490" s="83"/>
      <c r="C490" s="83"/>
      <c r="F490" s="78"/>
      <c r="G490" s="78"/>
      <c r="H490" s="78"/>
      <c r="I490" s="78"/>
      <c r="J490" s="78"/>
      <c r="O490" s="83"/>
      <c r="P490" s="84"/>
    </row>
    <row r="491">
      <c r="A491" s="83"/>
      <c r="B491" s="83"/>
      <c r="C491" s="83"/>
      <c r="F491" s="78"/>
      <c r="G491" s="78"/>
      <c r="H491" s="78"/>
      <c r="I491" s="78"/>
      <c r="J491" s="78"/>
      <c r="O491" s="83"/>
      <c r="P491" s="84"/>
    </row>
    <row r="492">
      <c r="A492" s="83"/>
      <c r="B492" s="83"/>
      <c r="C492" s="83"/>
      <c r="F492" s="78"/>
      <c r="G492" s="78"/>
      <c r="H492" s="78"/>
      <c r="I492" s="78"/>
      <c r="J492" s="78"/>
      <c r="O492" s="83"/>
      <c r="P492" s="84"/>
    </row>
    <row r="493">
      <c r="A493" s="83"/>
      <c r="B493" s="83"/>
      <c r="C493" s="83"/>
      <c r="F493" s="78"/>
      <c r="G493" s="78"/>
      <c r="H493" s="78"/>
      <c r="I493" s="78"/>
      <c r="J493" s="78"/>
      <c r="O493" s="83"/>
      <c r="P493" s="84"/>
    </row>
    <row r="494">
      <c r="A494" s="83"/>
      <c r="B494" s="83"/>
      <c r="C494" s="83"/>
      <c r="F494" s="78"/>
      <c r="G494" s="78"/>
      <c r="H494" s="78"/>
      <c r="I494" s="78"/>
      <c r="J494" s="78"/>
      <c r="O494" s="83"/>
      <c r="P494" s="84"/>
    </row>
    <row r="495">
      <c r="A495" s="83"/>
      <c r="B495" s="83"/>
      <c r="C495" s="83"/>
      <c r="F495" s="78"/>
      <c r="G495" s="78"/>
      <c r="H495" s="78"/>
      <c r="I495" s="78"/>
      <c r="J495" s="78"/>
      <c r="O495" s="83"/>
      <c r="P495" s="84"/>
    </row>
    <row r="496">
      <c r="A496" s="83"/>
      <c r="B496" s="83"/>
      <c r="C496" s="83"/>
      <c r="F496" s="78"/>
      <c r="G496" s="78"/>
      <c r="H496" s="78"/>
      <c r="I496" s="78"/>
      <c r="J496" s="78"/>
      <c r="O496" s="83"/>
      <c r="P496" s="84"/>
    </row>
    <row r="497">
      <c r="A497" s="83"/>
      <c r="B497" s="83"/>
      <c r="C497" s="83"/>
      <c r="F497" s="78"/>
      <c r="G497" s="78"/>
      <c r="H497" s="78"/>
      <c r="I497" s="78"/>
      <c r="J497" s="78"/>
      <c r="O497" s="83"/>
      <c r="P497" s="84"/>
    </row>
    <row r="498">
      <c r="A498" s="83"/>
      <c r="B498" s="83"/>
      <c r="C498" s="83"/>
      <c r="F498" s="78"/>
      <c r="G498" s="78"/>
      <c r="H498" s="78"/>
      <c r="I498" s="78"/>
      <c r="J498" s="78"/>
      <c r="O498" s="83"/>
      <c r="P498" s="84"/>
    </row>
    <row r="499">
      <c r="A499" s="83"/>
      <c r="B499" s="83"/>
      <c r="C499" s="83"/>
      <c r="F499" s="78"/>
      <c r="G499" s="78"/>
      <c r="H499" s="78"/>
      <c r="I499" s="78"/>
      <c r="J499" s="78"/>
      <c r="O499" s="83"/>
      <c r="P499" s="84"/>
    </row>
    <row r="500">
      <c r="A500" s="83"/>
      <c r="B500" s="83"/>
      <c r="C500" s="83"/>
      <c r="F500" s="78"/>
      <c r="G500" s="78"/>
      <c r="H500" s="78"/>
      <c r="I500" s="78"/>
      <c r="J500" s="78"/>
      <c r="O500" s="83"/>
      <c r="P500" s="84"/>
    </row>
    <row r="501">
      <c r="A501" s="83"/>
      <c r="B501" s="83"/>
      <c r="C501" s="83"/>
      <c r="F501" s="78"/>
      <c r="G501" s="78"/>
      <c r="H501" s="78"/>
      <c r="I501" s="78"/>
      <c r="J501" s="78"/>
      <c r="O501" s="83"/>
      <c r="P501" s="84"/>
    </row>
    <row r="502">
      <c r="A502" s="83"/>
      <c r="B502" s="83"/>
      <c r="C502" s="83"/>
      <c r="F502" s="78"/>
      <c r="G502" s="78"/>
      <c r="H502" s="78"/>
      <c r="I502" s="78"/>
      <c r="J502" s="78"/>
      <c r="O502" s="83"/>
      <c r="P502" s="84"/>
    </row>
    <row r="503">
      <c r="A503" s="83"/>
      <c r="B503" s="83"/>
      <c r="C503" s="83"/>
      <c r="F503" s="78"/>
      <c r="G503" s="78"/>
      <c r="H503" s="78"/>
      <c r="I503" s="78"/>
      <c r="J503" s="78"/>
      <c r="O503" s="83"/>
      <c r="P503" s="84"/>
    </row>
    <row r="504">
      <c r="A504" s="83"/>
      <c r="B504" s="83"/>
      <c r="C504" s="83"/>
      <c r="F504" s="78"/>
      <c r="G504" s="78"/>
      <c r="H504" s="78"/>
      <c r="I504" s="78"/>
      <c r="J504" s="78"/>
      <c r="O504" s="83"/>
      <c r="P504" s="84"/>
    </row>
    <row r="505">
      <c r="A505" s="83"/>
      <c r="B505" s="83"/>
      <c r="C505" s="83"/>
      <c r="F505" s="78"/>
      <c r="G505" s="78"/>
      <c r="H505" s="78"/>
      <c r="I505" s="78"/>
      <c r="J505" s="78"/>
      <c r="O505" s="83"/>
      <c r="P505" s="84"/>
    </row>
    <row r="506">
      <c r="A506" s="83"/>
      <c r="B506" s="83"/>
      <c r="C506" s="83"/>
      <c r="F506" s="78"/>
      <c r="G506" s="78"/>
      <c r="H506" s="78"/>
      <c r="I506" s="78"/>
      <c r="J506" s="78"/>
      <c r="O506" s="83"/>
      <c r="P506" s="84"/>
    </row>
    <row r="507">
      <c r="A507" s="83"/>
      <c r="B507" s="83"/>
      <c r="C507" s="83"/>
      <c r="F507" s="78"/>
      <c r="G507" s="78"/>
      <c r="H507" s="78"/>
      <c r="I507" s="78"/>
      <c r="J507" s="78"/>
      <c r="O507" s="83"/>
      <c r="P507" s="84"/>
    </row>
    <row r="508">
      <c r="A508" s="83"/>
      <c r="B508" s="83"/>
      <c r="C508" s="83"/>
      <c r="F508" s="78"/>
      <c r="G508" s="78"/>
      <c r="H508" s="78"/>
      <c r="I508" s="78"/>
      <c r="J508" s="78"/>
      <c r="O508" s="83"/>
      <c r="P508" s="84"/>
    </row>
    <row r="509">
      <c r="A509" s="83"/>
      <c r="B509" s="83"/>
      <c r="C509" s="83"/>
      <c r="F509" s="78"/>
      <c r="G509" s="78"/>
      <c r="H509" s="78"/>
      <c r="I509" s="78"/>
      <c r="J509" s="78"/>
      <c r="O509" s="83"/>
      <c r="P509" s="84"/>
    </row>
    <row r="510">
      <c r="A510" s="83"/>
      <c r="B510" s="83"/>
      <c r="C510" s="83"/>
      <c r="F510" s="78"/>
      <c r="G510" s="78"/>
      <c r="H510" s="78"/>
      <c r="I510" s="78"/>
      <c r="J510" s="78"/>
      <c r="O510" s="83"/>
      <c r="P510" s="84"/>
    </row>
    <row r="511">
      <c r="A511" s="83"/>
      <c r="B511" s="83"/>
      <c r="C511" s="83"/>
      <c r="F511" s="78"/>
      <c r="G511" s="78"/>
      <c r="H511" s="78"/>
      <c r="I511" s="78"/>
      <c r="J511" s="78"/>
      <c r="O511" s="83"/>
      <c r="P511" s="84"/>
    </row>
    <row r="512">
      <c r="A512" s="83"/>
      <c r="B512" s="83"/>
      <c r="C512" s="83"/>
      <c r="F512" s="78"/>
      <c r="G512" s="78"/>
      <c r="H512" s="78"/>
      <c r="I512" s="78"/>
      <c r="J512" s="78"/>
      <c r="O512" s="83"/>
      <c r="P512" s="84"/>
    </row>
    <row r="513">
      <c r="A513" s="83"/>
      <c r="B513" s="83"/>
      <c r="C513" s="83"/>
      <c r="F513" s="78"/>
      <c r="G513" s="78"/>
      <c r="H513" s="78"/>
      <c r="I513" s="78"/>
      <c r="J513" s="78"/>
      <c r="O513" s="83"/>
      <c r="P513" s="84"/>
    </row>
    <row r="514">
      <c r="A514" s="83"/>
      <c r="B514" s="83"/>
      <c r="C514" s="83"/>
      <c r="F514" s="78"/>
      <c r="G514" s="78"/>
      <c r="H514" s="78"/>
      <c r="I514" s="78"/>
      <c r="J514" s="78"/>
      <c r="O514" s="83"/>
      <c r="P514" s="84"/>
    </row>
    <row r="515">
      <c r="A515" s="83"/>
      <c r="B515" s="83"/>
      <c r="C515" s="83"/>
      <c r="F515" s="78"/>
      <c r="G515" s="78"/>
      <c r="H515" s="78"/>
      <c r="I515" s="78"/>
      <c r="J515" s="78"/>
      <c r="O515" s="83"/>
      <c r="P515" s="84"/>
    </row>
    <row r="516">
      <c r="A516" s="83"/>
      <c r="B516" s="83"/>
      <c r="C516" s="83"/>
      <c r="F516" s="78"/>
      <c r="G516" s="78"/>
      <c r="H516" s="78"/>
      <c r="I516" s="78"/>
      <c r="J516" s="78"/>
      <c r="O516" s="83"/>
      <c r="P516" s="84"/>
    </row>
    <row r="517">
      <c r="A517" s="83"/>
      <c r="B517" s="83"/>
      <c r="C517" s="83"/>
      <c r="F517" s="78"/>
      <c r="G517" s="78"/>
      <c r="H517" s="78"/>
      <c r="I517" s="78"/>
      <c r="J517" s="78"/>
      <c r="O517" s="83"/>
      <c r="P517" s="84"/>
    </row>
    <row r="518">
      <c r="A518" s="83"/>
      <c r="B518" s="83"/>
      <c r="C518" s="83"/>
      <c r="F518" s="78"/>
      <c r="G518" s="78"/>
      <c r="H518" s="78"/>
      <c r="I518" s="78"/>
      <c r="J518" s="78"/>
      <c r="O518" s="83"/>
      <c r="P518" s="84"/>
    </row>
    <row r="519">
      <c r="A519" s="83"/>
      <c r="B519" s="83"/>
      <c r="C519" s="83"/>
      <c r="F519" s="78"/>
      <c r="G519" s="78"/>
      <c r="H519" s="78"/>
      <c r="I519" s="78"/>
      <c r="J519" s="78"/>
      <c r="O519" s="83"/>
      <c r="P519" s="84"/>
    </row>
    <row r="520">
      <c r="A520" s="83"/>
      <c r="B520" s="83"/>
      <c r="C520" s="83"/>
      <c r="F520" s="78"/>
      <c r="G520" s="78"/>
      <c r="H520" s="78"/>
      <c r="I520" s="78"/>
      <c r="J520" s="78"/>
      <c r="O520" s="83"/>
      <c r="P520" s="84"/>
    </row>
    <row r="521">
      <c r="A521" s="83"/>
      <c r="B521" s="83"/>
      <c r="C521" s="83"/>
      <c r="F521" s="78"/>
      <c r="G521" s="78"/>
      <c r="H521" s="78"/>
      <c r="I521" s="78"/>
      <c r="J521" s="78"/>
      <c r="O521" s="83"/>
      <c r="P521" s="84"/>
    </row>
    <row r="522">
      <c r="A522" s="83"/>
      <c r="B522" s="83"/>
      <c r="C522" s="83"/>
      <c r="F522" s="78"/>
      <c r="G522" s="78"/>
      <c r="H522" s="78"/>
      <c r="I522" s="78"/>
      <c r="J522" s="78"/>
      <c r="O522" s="83"/>
      <c r="P522" s="84"/>
    </row>
    <row r="523">
      <c r="A523" s="83"/>
      <c r="B523" s="83"/>
      <c r="C523" s="83"/>
      <c r="F523" s="78"/>
      <c r="G523" s="78"/>
      <c r="H523" s="78"/>
      <c r="I523" s="78"/>
      <c r="J523" s="78"/>
      <c r="O523" s="83"/>
      <c r="P523" s="84"/>
    </row>
    <row r="524">
      <c r="A524" s="83"/>
      <c r="B524" s="83"/>
      <c r="C524" s="83"/>
      <c r="F524" s="78"/>
      <c r="G524" s="78"/>
      <c r="H524" s="78"/>
      <c r="I524" s="78"/>
      <c r="J524" s="78"/>
      <c r="O524" s="83"/>
      <c r="P524" s="84"/>
    </row>
    <row r="525">
      <c r="A525" s="83"/>
      <c r="B525" s="83"/>
      <c r="C525" s="83"/>
      <c r="F525" s="78"/>
      <c r="G525" s="78"/>
      <c r="H525" s="78"/>
      <c r="I525" s="78"/>
      <c r="J525" s="78"/>
      <c r="O525" s="83"/>
      <c r="P525" s="84"/>
    </row>
    <row r="526">
      <c r="A526" s="83"/>
      <c r="B526" s="83"/>
      <c r="C526" s="83"/>
      <c r="F526" s="78"/>
      <c r="G526" s="78"/>
      <c r="H526" s="78"/>
      <c r="I526" s="78"/>
      <c r="J526" s="78"/>
      <c r="O526" s="83"/>
      <c r="P526" s="84"/>
    </row>
    <row r="527">
      <c r="A527" s="83"/>
      <c r="B527" s="83"/>
      <c r="C527" s="83"/>
      <c r="F527" s="78"/>
      <c r="G527" s="78"/>
      <c r="H527" s="78"/>
      <c r="I527" s="78"/>
      <c r="J527" s="78"/>
      <c r="O527" s="83"/>
      <c r="P527" s="84"/>
    </row>
    <row r="528">
      <c r="A528" s="83"/>
      <c r="B528" s="83"/>
      <c r="C528" s="83"/>
      <c r="F528" s="78"/>
      <c r="G528" s="78"/>
      <c r="H528" s="78"/>
      <c r="I528" s="78"/>
      <c r="J528" s="78"/>
      <c r="O528" s="83"/>
      <c r="P528" s="84"/>
    </row>
    <row r="529">
      <c r="A529" s="83"/>
      <c r="B529" s="83"/>
      <c r="C529" s="83"/>
      <c r="F529" s="78"/>
      <c r="G529" s="78"/>
      <c r="H529" s="78"/>
      <c r="I529" s="78"/>
      <c r="J529" s="78"/>
      <c r="O529" s="83"/>
      <c r="P529" s="84"/>
    </row>
    <row r="530">
      <c r="A530" s="83"/>
      <c r="B530" s="83"/>
      <c r="C530" s="83"/>
      <c r="F530" s="78"/>
      <c r="G530" s="78"/>
      <c r="H530" s="78"/>
      <c r="I530" s="78"/>
      <c r="J530" s="78"/>
      <c r="O530" s="83"/>
      <c r="P530" s="84"/>
    </row>
    <row r="531">
      <c r="A531" s="83"/>
      <c r="B531" s="83"/>
      <c r="C531" s="83"/>
      <c r="F531" s="78"/>
      <c r="G531" s="78"/>
      <c r="H531" s="78"/>
      <c r="I531" s="78"/>
      <c r="J531" s="78"/>
      <c r="O531" s="83"/>
      <c r="P531" s="84"/>
    </row>
    <row r="532">
      <c r="A532" s="83"/>
      <c r="B532" s="83"/>
      <c r="C532" s="83"/>
      <c r="F532" s="78"/>
      <c r="G532" s="78"/>
      <c r="H532" s="78"/>
      <c r="I532" s="78"/>
      <c r="J532" s="78"/>
      <c r="O532" s="83"/>
      <c r="P532" s="84"/>
    </row>
    <row r="533">
      <c r="A533" s="83"/>
      <c r="B533" s="83"/>
      <c r="C533" s="83"/>
      <c r="F533" s="78"/>
      <c r="G533" s="78"/>
      <c r="H533" s="78"/>
      <c r="I533" s="78"/>
      <c r="J533" s="78"/>
      <c r="O533" s="83"/>
      <c r="P533" s="84"/>
    </row>
    <row r="534">
      <c r="A534" s="83"/>
      <c r="B534" s="83"/>
      <c r="C534" s="83"/>
      <c r="F534" s="78"/>
      <c r="G534" s="78"/>
      <c r="H534" s="78"/>
      <c r="I534" s="78"/>
      <c r="J534" s="78"/>
      <c r="O534" s="83"/>
      <c r="P534" s="84"/>
    </row>
    <row r="535">
      <c r="A535" s="83"/>
      <c r="B535" s="83"/>
      <c r="C535" s="83"/>
      <c r="F535" s="78"/>
      <c r="G535" s="78"/>
      <c r="H535" s="78"/>
      <c r="I535" s="78"/>
      <c r="J535" s="78"/>
      <c r="O535" s="83"/>
      <c r="P535" s="84"/>
    </row>
    <row r="536">
      <c r="A536" s="83"/>
      <c r="B536" s="83"/>
      <c r="C536" s="83"/>
      <c r="F536" s="78"/>
      <c r="G536" s="78"/>
      <c r="H536" s="78"/>
      <c r="I536" s="78"/>
      <c r="J536" s="78"/>
      <c r="O536" s="83"/>
      <c r="P536" s="84"/>
    </row>
    <row r="537">
      <c r="A537" s="83"/>
      <c r="B537" s="83"/>
      <c r="C537" s="83"/>
      <c r="F537" s="78"/>
      <c r="G537" s="78"/>
      <c r="H537" s="78"/>
      <c r="I537" s="78"/>
      <c r="J537" s="78"/>
      <c r="O537" s="83"/>
      <c r="P537" s="84"/>
    </row>
    <row r="538">
      <c r="A538" s="83"/>
      <c r="B538" s="83"/>
      <c r="C538" s="83"/>
      <c r="F538" s="78"/>
      <c r="G538" s="78"/>
      <c r="H538" s="78"/>
      <c r="I538" s="78"/>
      <c r="J538" s="78"/>
      <c r="O538" s="83"/>
      <c r="P538" s="84"/>
    </row>
    <row r="539">
      <c r="A539" s="83"/>
      <c r="B539" s="83"/>
      <c r="C539" s="83"/>
      <c r="F539" s="78"/>
      <c r="G539" s="78"/>
      <c r="H539" s="78"/>
      <c r="I539" s="78"/>
      <c r="J539" s="78"/>
      <c r="O539" s="83"/>
      <c r="P539" s="84"/>
    </row>
    <row r="540">
      <c r="A540" s="83"/>
      <c r="B540" s="83"/>
      <c r="C540" s="83"/>
      <c r="F540" s="78"/>
      <c r="G540" s="78"/>
      <c r="H540" s="78"/>
      <c r="I540" s="78"/>
      <c r="J540" s="78"/>
      <c r="O540" s="83"/>
      <c r="P540" s="84"/>
    </row>
    <row r="541">
      <c r="A541" s="83"/>
      <c r="B541" s="83"/>
      <c r="C541" s="83"/>
      <c r="F541" s="78"/>
      <c r="G541" s="78"/>
      <c r="H541" s="78"/>
      <c r="I541" s="78"/>
      <c r="J541" s="78"/>
      <c r="O541" s="83"/>
      <c r="P541" s="84"/>
    </row>
    <row r="542">
      <c r="A542" s="83"/>
      <c r="B542" s="83"/>
      <c r="C542" s="83"/>
      <c r="F542" s="78"/>
      <c r="G542" s="78"/>
      <c r="H542" s="78"/>
      <c r="I542" s="78"/>
      <c r="J542" s="78"/>
      <c r="O542" s="83"/>
      <c r="P542" s="84"/>
    </row>
    <row r="543">
      <c r="A543" s="83"/>
      <c r="B543" s="83"/>
      <c r="C543" s="83"/>
      <c r="F543" s="78"/>
      <c r="G543" s="78"/>
      <c r="H543" s="78"/>
      <c r="I543" s="78"/>
      <c r="J543" s="78"/>
      <c r="O543" s="83"/>
      <c r="P543" s="84"/>
    </row>
    <row r="544">
      <c r="A544" s="83"/>
      <c r="B544" s="83"/>
      <c r="C544" s="83"/>
      <c r="F544" s="78"/>
      <c r="G544" s="78"/>
      <c r="H544" s="78"/>
      <c r="I544" s="78"/>
      <c r="J544" s="78"/>
      <c r="O544" s="83"/>
      <c r="P544" s="84"/>
    </row>
    <row r="545">
      <c r="A545" s="83"/>
      <c r="B545" s="83"/>
      <c r="C545" s="83"/>
      <c r="F545" s="78"/>
      <c r="G545" s="78"/>
      <c r="H545" s="78"/>
      <c r="I545" s="78"/>
      <c r="J545" s="78"/>
      <c r="O545" s="83"/>
      <c r="P545" s="84"/>
    </row>
    <row r="546">
      <c r="A546" s="83"/>
      <c r="B546" s="83"/>
      <c r="C546" s="83"/>
      <c r="F546" s="78"/>
      <c r="G546" s="78"/>
      <c r="H546" s="78"/>
      <c r="I546" s="78"/>
      <c r="J546" s="78"/>
      <c r="O546" s="83"/>
      <c r="P546" s="84"/>
    </row>
    <row r="547">
      <c r="A547" s="83"/>
      <c r="B547" s="83"/>
      <c r="C547" s="83"/>
      <c r="F547" s="78"/>
      <c r="G547" s="78"/>
      <c r="H547" s="78"/>
      <c r="I547" s="78"/>
      <c r="J547" s="78"/>
      <c r="O547" s="83"/>
      <c r="P547" s="84"/>
    </row>
    <row r="548">
      <c r="A548" s="83"/>
      <c r="B548" s="83"/>
      <c r="C548" s="83"/>
      <c r="F548" s="78"/>
      <c r="G548" s="78"/>
      <c r="H548" s="78"/>
      <c r="I548" s="78"/>
      <c r="J548" s="78"/>
      <c r="O548" s="83"/>
      <c r="P548" s="84"/>
    </row>
    <row r="549">
      <c r="A549" s="83"/>
      <c r="B549" s="83"/>
      <c r="C549" s="83"/>
      <c r="F549" s="78"/>
      <c r="G549" s="78"/>
      <c r="H549" s="78"/>
      <c r="I549" s="78"/>
      <c r="J549" s="78"/>
      <c r="O549" s="83"/>
      <c r="P549" s="84"/>
    </row>
    <row r="550">
      <c r="A550" s="83"/>
      <c r="B550" s="83"/>
      <c r="C550" s="83"/>
      <c r="F550" s="78"/>
      <c r="G550" s="78"/>
      <c r="H550" s="78"/>
      <c r="I550" s="78"/>
      <c r="J550" s="78"/>
      <c r="O550" s="83"/>
      <c r="P550" s="84"/>
    </row>
    <row r="551">
      <c r="A551" s="83"/>
      <c r="B551" s="83"/>
      <c r="C551" s="83"/>
      <c r="F551" s="78"/>
      <c r="G551" s="78"/>
      <c r="H551" s="78"/>
      <c r="I551" s="78"/>
      <c r="J551" s="78"/>
      <c r="O551" s="83"/>
      <c r="P551" s="84"/>
    </row>
    <row r="552">
      <c r="A552" s="83"/>
      <c r="B552" s="83"/>
      <c r="C552" s="83"/>
      <c r="F552" s="78"/>
      <c r="G552" s="78"/>
      <c r="H552" s="78"/>
      <c r="I552" s="78"/>
      <c r="J552" s="78"/>
      <c r="O552" s="83"/>
      <c r="P552" s="84"/>
    </row>
    <row r="553">
      <c r="A553" s="83"/>
      <c r="B553" s="83"/>
      <c r="C553" s="83"/>
      <c r="F553" s="78"/>
      <c r="G553" s="78"/>
      <c r="H553" s="78"/>
      <c r="I553" s="78"/>
      <c r="J553" s="78"/>
      <c r="O553" s="83"/>
      <c r="P553" s="84"/>
    </row>
    <row r="554">
      <c r="A554" s="83"/>
      <c r="B554" s="83"/>
      <c r="C554" s="83"/>
      <c r="F554" s="78"/>
      <c r="G554" s="78"/>
      <c r="H554" s="78"/>
      <c r="I554" s="78"/>
      <c r="J554" s="78"/>
      <c r="O554" s="83"/>
      <c r="P554" s="84"/>
    </row>
    <row r="555">
      <c r="A555" s="83"/>
      <c r="B555" s="83"/>
      <c r="C555" s="83"/>
      <c r="F555" s="78"/>
      <c r="G555" s="78"/>
      <c r="H555" s="78"/>
      <c r="I555" s="78"/>
      <c r="J555" s="78"/>
      <c r="O555" s="83"/>
      <c r="P555" s="84"/>
    </row>
    <row r="556">
      <c r="A556" s="83"/>
      <c r="B556" s="83"/>
      <c r="C556" s="83"/>
      <c r="F556" s="78"/>
      <c r="G556" s="78"/>
      <c r="H556" s="78"/>
      <c r="I556" s="78"/>
      <c r="J556" s="78"/>
      <c r="O556" s="83"/>
      <c r="P556" s="84"/>
    </row>
    <row r="557">
      <c r="A557" s="83"/>
      <c r="B557" s="83"/>
      <c r="C557" s="83"/>
      <c r="F557" s="78"/>
      <c r="G557" s="78"/>
      <c r="H557" s="78"/>
      <c r="I557" s="78"/>
      <c r="J557" s="78"/>
      <c r="O557" s="83"/>
      <c r="P557" s="84"/>
    </row>
    <row r="558">
      <c r="A558" s="83"/>
      <c r="B558" s="83"/>
      <c r="C558" s="83"/>
      <c r="F558" s="78"/>
      <c r="G558" s="78"/>
      <c r="H558" s="78"/>
      <c r="I558" s="78"/>
      <c r="J558" s="78"/>
      <c r="O558" s="83"/>
      <c r="P558" s="84"/>
    </row>
    <row r="559">
      <c r="A559" s="83"/>
      <c r="B559" s="83"/>
      <c r="C559" s="83"/>
      <c r="F559" s="78"/>
      <c r="G559" s="78"/>
      <c r="H559" s="78"/>
      <c r="I559" s="78"/>
      <c r="J559" s="78"/>
      <c r="O559" s="83"/>
      <c r="P559" s="84"/>
    </row>
    <row r="560">
      <c r="A560" s="83"/>
      <c r="B560" s="83"/>
      <c r="C560" s="83"/>
      <c r="F560" s="78"/>
      <c r="G560" s="78"/>
      <c r="H560" s="78"/>
      <c r="I560" s="78"/>
      <c r="J560" s="78"/>
      <c r="O560" s="83"/>
      <c r="P560" s="84"/>
    </row>
    <row r="561">
      <c r="A561" s="83"/>
      <c r="B561" s="83"/>
      <c r="C561" s="83"/>
      <c r="F561" s="78"/>
      <c r="G561" s="78"/>
      <c r="H561" s="78"/>
      <c r="I561" s="78"/>
      <c r="J561" s="78"/>
      <c r="O561" s="83"/>
      <c r="P561" s="84"/>
    </row>
    <row r="562">
      <c r="A562" s="83"/>
      <c r="B562" s="83"/>
      <c r="C562" s="83"/>
      <c r="F562" s="78"/>
      <c r="G562" s="78"/>
      <c r="H562" s="78"/>
      <c r="I562" s="78"/>
      <c r="J562" s="78"/>
      <c r="O562" s="83"/>
      <c r="P562" s="84"/>
    </row>
    <row r="563">
      <c r="A563" s="83"/>
      <c r="B563" s="83"/>
      <c r="C563" s="83"/>
      <c r="F563" s="78"/>
      <c r="G563" s="78"/>
      <c r="H563" s="78"/>
      <c r="I563" s="78"/>
      <c r="J563" s="78"/>
      <c r="O563" s="83"/>
      <c r="P563" s="84"/>
    </row>
    <row r="564">
      <c r="A564" s="83"/>
      <c r="B564" s="83"/>
      <c r="C564" s="83"/>
      <c r="F564" s="78"/>
      <c r="G564" s="78"/>
      <c r="H564" s="78"/>
      <c r="I564" s="78"/>
      <c r="J564" s="78"/>
      <c r="O564" s="83"/>
      <c r="P564" s="84"/>
    </row>
    <row r="565">
      <c r="A565" s="83"/>
      <c r="B565" s="83"/>
      <c r="C565" s="83"/>
      <c r="F565" s="78"/>
      <c r="G565" s="78"/>
      <c r="H565" s="78"/>
      <c r="I565" s="78"/>
      <c r="J565" s="78"/>
      <c r="O565" s="83"/>
      <c r="P565" s="84"/>
    </row>
    <row r="566">
      <c r="A566" s="83"/>
      <c r="B566" s="83"/>
      <c r="C566" s="83"/>
      <c r="F566" s="78"/>
      <c r="G566" s="78"/>
      <c r="H566" s="78"/>
      <c r="I566" s="78"/>
      <c r="J566" s="78"/>
      <c r="O566" s="83"/>
      <c r="P566" s="84"/>
    </row>
    <row r="567">
      <c r="A567" s="83"/>
      <c r="B567" s="83"/>
      <c r="C567" s="83"/>
      <c r="F567" s="78"/>
      <c r="G567" s="78"/>
      <c r="H567" s="78"/>
      <c r="I567" s="78"/>
      <c r="J567" s="78"/>
      <c r="O567" s="83"/>
      <c r="P567" s="84"/>
    </row>
    <row r="568">
      <c r="A568" s="83"/>
      <c r="B568" s="83"/>
      <c r="C568" s="83"/>
      <c r="F568" s="78"/>
      <c r="G568" s="78"/>
      <c r="H568" s="78"/>
      <c r="I568" s="78"/>
      <c r="J568" s="78"/>
      <c r="O568" s="83"/>
      <c r="P568" s="84"/>
    </row>
    <row r="569">
      <c r="A569" s="83"/>
      <c r="B569" s="83"/>
      <c r="C569" s="83"/>
      <c r="F569" s="78"/>
      <c r="G569" s="78"/>
      <c r="H569" s="78"/>
      <c r="I569" s="78"/>
      <c r="J569" s="78"/>
      <c r="O569" s="83"/>
      <c r="P569" s="84"/>
    </row>
    <row r="570">
      <c r="A570" s="83"/>
      <c r="B570" s="83"/>
      <c r="C570" s="83"/>
      <c r="F570" s="78"/>
      <c r="G570" s="78"/>
      <c r="H570" s="78"/>
      <c r="I570" s="78"/>
      <c r="J570" s="78"/>
      <c r="O570" s="83"/>
      <c r="P570" s="84"/>
    </row>
    <row r="571">
      <c r="A571" s="83"/>
      <c r="B571" s="83"/>
      <c r="C571" s="83"/>
      <c r="F571" s="78"/>
      <c r="G571" s="78"/>
      <c r="H571" s="78"/>
      <c r="I571" s="78"/>
      <c r="J571" s="78"/>
      <c r="O571" s="83"/>
      <c r="P571" s="84"/>
    </row>
    <row r="572">
      <c r="A572" s="83"/>
      <c r="B572" s="83"/>
      <c r="C572" s="83"/>
      <c r="F572" s="78"/>
      <c r="G572" s="78"/>
      <c r="H572" s="78"/>
      <c r="I572" s="78"/>
      <c r="J572" s="78"/>
      <c r="O572" s="83"/>
      <c r="P572" s="84"/>
    </row>
    <row r="573">
      <c r="A573" s="83"/>
      <c r="B573" s="83"/>
      <c r="C573" s="83"/>
      <c r="F573" s="78"/>
      <c r="G573" s="78"/>
      <c r="H573" s="78"/>
      <c r="I573" s="78"/>
      <c r="J573" s="78"/>
      <c r="O573" s="83"/>
      <c r="P573" s="84"/>
    </row>
    <row r="574">
      <c r="A574" s="83"/>
      <c r="B574" s="83"/>
      <c r="C574" s="83"/>
      <c r="F574" s="78"/>
      <c r="G574" s="78"/>
      <c r="H574" s="78"/>
      <c r="I574" s="78"/>
      <c r="J574" s="78"/>
      <c r="O574" s="83"/>
      <c r="P574" s="84"/>
    </row>
    <row r="575">
      <c r="A575" s="83"/>
      <c r="B575" s="83"/>
      <c r="C575" s="83"/>
      <c r="F575" s="78"/>
      <c r="G575" s="78"/>
      <c r="H575" s="78"/>
      <c r="I575" s="78"/>
      <c r="J575" s="78"/>
      <c r="O575" s="83"/>
      <c r="P575" s="84"/>
    </row>
    <row r="576">
      <c r="A576" s="83"/>
      <c r="B576" s="83"/>
      <c r="C576" s="83"/>
      <c r="F576" s="78"/>
      <c r="G576" s="78"/>
      <c r="H576" s="78"/>
      <c r="I576" s="78"/>
      <c r="J576" s="78"/>
      <c r="O576" s="83"/>
      <c r="P576" s="84"/>
    </row>
    <row r="577">
      <c r="A577" s="83"/>
      <c r="B577" s="83"/>
      <c r="C577" s="83"/>
      <c r="F577" s="78"/>
      <c r="G577" s="78"/>
      <c r="H577" s="78"/>
      <c r="I577" s="78"/>
      <c r="J577" s="78"/>
      <c r="O577" s="83"/>
      <c r="P577" s="84"/>
    </row>
    <row r="578">
      <c r="A578" s="83"/>
      <c r="B578" s="83"/>
      <c r="C578" s="83"/>
      <c r="F578" s="78"/>
      <c r="G578" s="78"/>
      <c r="H578" s="78"/>
      <c r="I578" s="78"/>
      <c r="J578" s="78"/>
      <c r="O578" s="83"/>
      <c r="P578" s="84"/>
    </row>
    <row r="579">
      <c r="A579" s="83"/>
      <c r="B579" s="83"/>
      <c r="C579" s="83"/>
      <c r="F579" s="78"/>
      <c r="G579" s="78"/>
      <c r="H579" s="78"/>
      <c r="I579" s="78"/>
      <c r="J579" s="78"/>
      <c r="O579" s="83"/>
      <c r="P579" s="84"/>
    </row>
    <row r="580">
      <c r="A580" s="83"/>
      <c r="B580" s="83"/>
      <c r="C580" s="83"/>
      <c r="F580" s="78"/>
      <c r="G580" s="78"/>
      <c r="H580" s="78"/>
      <c r="I580" s="78"/>
      <c r="J580" s="78"/>
      <c r="O580" s="83"/>
      <c r="P580" s="84"/>
    </row>
    <row r="581">
      <c r="A581" s="83"/>
      <c r="B581" s="83"/>
      <c r="C581" s="83"/>
      <c r="F581" s="78"/>
      <c r="G581" s="78"/>
      <c r="H581" s="78"/>
      <c r="I581" s="78"/>
      <c r="J581" s="78"/>
      <c r="O581" s="83"/>
      <c r="P581" s="84"/>
    </row>
    <row r="582">
      <c r="A582" s="83"/>
      <c r="B582" s="83"/>
      <c r="C582" s="83"/>
      <c r="F582" s="78"/>
      <c r="G582" s="78"/>
      <c r="H582" s="78"/>
      <c r="I582" s="78"/>
      <c r="J582" s="78"/>
      <c r="O582" s="83"/>
      <c r="P582" s="84"/>
    </row>
    <row r="583">
      <c r="A583" s="83"/>
      <c r="B583" s="83"/>
      <c r="C583" s="83"/>
      <c r="F583" s="78"/>
      <c r="G583" s="78"/>
      <c r="H583" s="78"/>
      <c r="I583" s="78"/>
      <c r="J583" s="78"/>
      <c r="O583" s="83"/>
      <c r="P583" s="84"/>
    </row>
    <row r="584">
      <c r="A584" s="83"/>
      <c r="B584" s="83"/>
      <c r="C584" s="83"/>
      <c r="F584" s="78"/>
      <c r="G584" s="78"/>
      <c r="H584" s="78"/>
      <c r="I584" s="78"/>
      <c r="J584" s="78"/>
      <c r="O584" s="83"/>
      <c r="P584" s="84"/>
    </row>
    <row r="585">
      <c r="A585" s="83"/>
      <c r="B585" s="83"/>
      <c r="C585" s="83"/>
      <c r="F585" s="78"/>
      <c r="G585" s="78"/>
      <c r="H585" s="78"/>
      <c r="I585" s="78"/>
      <c r="J585" s="78"/>
      <c r="O585" s="83"/>
      <c r="P585" s="84"/>
    </row>
    <row r="586">
      <c r="A586" s="83"/>
      <c r="B586" s="83"/>
      <c r="C586" s="83"/>
      <c r="F586" s="78"/>
      <c r="G586" s="78"/>
      <c r="H586" s="78"/>
      <c r="I586" s="78"/>
      <c r="J586" s="78"/>
      <c r="O586" s="83"/>
      <c r="P586" s="84"/>
    </row>
    <row r="587">
      <c r="A587" s="83"/>
      <c r="B587" s="83"/>
      <c r="C587" s="83"/>
      <c r="F587" s="78"/>
      <c r="G587" s="78"/>
      <c r="H587" s="78"/>
      <c r="I587" s="78"/>
      <c r="J587" s="78"/>
      <c r="O587" s="83"/>
      <c r="P587" s="84"/>
    </row>
    <row r="588">
      <c r="A588" s="83"/>
      <c r="B588" s="83"/>
      <c r="C588" s="83"/>
      <c r="F588" s="78"/>
      <c r="G588" s="78"/>
      <c r="H588" s="78"/>
      <c r="I588" s="78"/>
      <c r="J588" s="78"/>
      <c r="O588" s="83"/>
      <c r="P588" s="84"/>
    </row>
    <row r="589">
      <c r="A589" s="83"/>
      <c r="B589" s="83"/>
      <c r="C589" s="83"/>
      <c r="F589" s="78"/>
      <c r="G589" s="78"/>
      <c r="H589" s="78"/>
      <c r="I589" s="78"/>
      <c r="J589" s="78"/>
      <c r="O589" s="83"/>
      <c r="P589" s="84"/>
    </row>
    <row r="590">
      <c r="A590" s="83"/>
      <c r="B590" s="83"/>
      <c r="C590" s="83"/>
      <c r="F590" s="78"/>
      <c r="G590" s="78"/>
      <c r="H590" s="78"/>
      <c r="I590" s="78"/>
      <c r="J590" s="78"/>
      <c r="O590" s="83"/>
      <c r="P590" s="84"/>
    </row>
    <row r="591">
      <c r="A591" s="83"/>
      <c r="B591" s="83"/>
      <c r="C591" s="83"/>
      <c r="F591" s="78"/>
      <c r="G591" s="78"/>
      <c r="H591" s="78"/>
      <c r="I591" s="78"/>
      <c r="J591" s="78"/>
      <c r="O591" s="83"/>
      <c r="P591" s="84"/>
    </row>
    <row r="592">
      <c r="A592" s="83"/>
      <c r="B592" s="83"/>
      <c r="C592" s="83"/>
      <c r="F592" s="78"/>
      <c r="G592" s="78"/>
      <c r="H592" s="78"/>
      <c r="I592" s="78"/>
      <c r="J592" s="78"/>
      <c r="O592" s="83"/>
      <c r="P592" s="84"/>
    </row>
    <row r="593">
      <c r="A593" s="83"/>
      <c r="B593" s="83"/>
      <c r="C593" s="83"/>
      <c r="F593" s="78"/>
      <c r="G593" s="78"/>
      <c r="H593" s="78"/>
      <c r="I593" s="78"/>
      <c r="J593" s="78"/>
      <c r="O593" s="83"/>
      <c r="P593" s="84"/>
    </row>
    <row r="594">
      <c r="A594" s="83"/>
      <c r="B594" s="83"/>
      <c r="C594" s="83"/>
      <c r="F594" s="78"/>
      <c r="G594" s="78"/>
      <c r="H594" s="78"/>
      <c r="I594" s="78"/>
      <c r="J594" s="78"/>
      <c r="O594" s="83"/>
      <c r="P594" s="84"/>
    </row>
    <row r="595">
      <c r="A595" s="83"/>
      <c r="B595" s="83"/>
      <c r="C595" s="83"/>
      <c r="F595" s="78"/>
      <c r="G595" s="78"/>
      <c r="H595" s="78"/>
      <c r="I595" s="78"/>
      <c r="J595" s="78"/>
      <c r="O595" s="83"/>
      <c r="P595" s="84"/>
    </row>
    <row r="596">
      <c r="A596" s="83"/>
      <c r="B596" s="83"/>
      <c r="C596" s="83"/>
      <c r="F596" s="78"/>
      <c r="G596" s="78"/>
      <c r="H596" s="78"/>
      <c r="I596" s="78"/>
      <c r="J596" s="78"/>
      <c r="O596" s="83"/>
      <c r="P596" s="84"/>
    </row>
    <row r="597">
      <c r="A597" s="83"/>
      <c r="B597" s="83"/>
      <c r="C597" s="83"/>
      <c r="F597" s="78"/>
      <c r="G597" s="78"/>
      <c r="H597" s="78"/>
      <c r="I597" s="78"/>
      <c r="J597" s="78"/>
      <c r="O597" s="83"/>
      <c r="P597" s="84"/>
    </row>
    <row r="598">
      <c r="A598" s="83"/>
      <c r="B598" s="83"/>
      <c r="C598" s="83"/>
      <c r="F598" s="78"/>
      <c r="G598" s="78"/>
      <c r="H598" s="78"/>
      <c r="I598" s="78"/>
      <c r="J598" s="78"/>
      <c r="O598" s="83"/>
      <c r="P598" s="84"/>
    </row>
    <row r="599">
      <c r="A599" s="83"/>
      <c r="B599" s="83"/>
      <c r="C599" s="83"/>
      <c r="F599" s="78"/>
      <c r="G599" s="78"/>
      <c r="H599" s="78"/>
      <c r="I599" s="78"/>
      <c r="J599" s="78"/>
      <c r="O599" s="83"/>
      <c r="P599" s="84"/>
    </row>
    <row r="600">
      <c r="A600" s="83"/>
      <c r="B600" s="83"/>
      <c r="C600" s="83"/>
      <c r="F600" s="78"/>
      <c r="G600" s="78"/>
      <c r="H600" s="78"/>
      <c r="I600" s="78"/>
      <c r="J600" s="78"/>
      <c r="O600" s="83"/>
      <c r="P600" s="84"/>
    </row>
    <row r="601">
      <c r="A601" s="83"/>
      <c r="B601" s="83"/>
      <c r="C601" s="83"/>
      <c r="F601" s="78"/>
      <c r="G601" s="78"/>
      <c r="H601" s="78"/>
      <c r="I601" s="78"/>
      <c r="J601" s="78"/>
      <c r="O601" s="83"/>
      <c r="P601" s="84"/>
    </row>
    <row r="602">
      <c r="A602" s="83"/>
      <c r="B602" s="83"/>
      <c r="C602" s="83"/>
      <c r="F602" s="78"/>
      <c r="G602" s="78"/>
      <c r="H602" s="78"/>
      <c r="I602" s="78"/>
      <c r="J602" s="78"/>
      <c r="O602" s="83"/>
      <c r="P602" s="84"/>
    </row>
    <row r="603">
      <c r="A603" s="83"/>
      <c r="B603" s="83"/>
      <c r="C603" s="83"/>
      <c r="F603" s="78"/>
      <c r="G603" s="78"/>
      <c r="H603" s="78"/>
      <c r="I603" s="78"/>
      <c r="J603" s="78"/>
      <c r="O603" s="83"/>
      <c r="P603" s="84"/>
    </row>
    <row r="604">
      <c r="A604" s="83"/>
      <c r="B604" s="83"/>
      <c r="C604" s="83"/>
      <c r="F604" s="78"/>
      <c r="G604" s="78"/>
      <c r="H604" s="78"/>
      <c r="I604" s="78"/>
      <c r="J604" s="78"/>
      <c r="O604" s="83"/>
      <c r="P604" s="84"/>
    </row>
    <row r="605">
      <c r="A605" s="83"/>
      <c r="B605" s="83"/>
      <c r="C605" s="83"/>
      <c r="F605" s="78"/>
      <c r="G605" s="78"/>
      <c r="H605" s="78"/>
      <c r="I605" s="78"/>
      <c r="J605" s="78"/>
      <c r="O605" s="83"/>
      <c r="P605" s="84"/>
    </row>
    <row r="606">
      <c r="A606" s="83"/>
      <c r="B606" s="83"/>
      <c r="C606" s="83"/>
      <c r="F606" s="78"/>
      <c r="G606" s="78"/>
      <c r="H606" s="78"/>
      <c r="I606" s="78"/>
      <c r="J606" s="78"/>
      <c r="O606" s="83"/>
      <c r="P606" s="84"/>
    </row>
    <row r="607">
      <c r="A607" s="83"/>
      <c r="B607" s="83"/>
      <c r="C607" s="83"/>
      <c r="F607" s="78"/>
      <c r="G607" s="78"/>
      <c r="H607" s="78"/>
      <c r="I607" s="78"/>
      <c r="J607" s="78"/>
      <c r="O607" s="83"/>
      <c r="P607" s="84"/>
    </row>
    <row r="608">
      <c r="A608" s="83"/>
      <c r="B608" s="83"/>
      <c r="C608" s="83"/>
      <c r="F608" s="78"/>
      <c r="G608" s="78"/>
      <c r="H608" s="78"/>
      <c r="I608" s="78"/>
      <c r="J608" s="78"/>
      <c r="O608" s="83"/>
      <c r="P608" s="84"/>
    </row>
    <row r="609">
      <c r="A609" s="83"/>
      <c r="B609" s="83"/>
      <c r="C609" s="83"/>
      <c r="F609" s="78"/>
      <c r="G609" s="78"/>
      <c r="H609" s="78"/>
      <c r="I609" s="78"/>
      <c r="J609" s="78"/>
      <c r="O609" s="83"/>
      <c r="P609" s="84"/>
    </row>
    <row r="610">
      <c r="A610" s="83"/>
      <c r="B610" s="83"/>
      <c r="C610" s="83"/>
      <c r="F610" s="78"/>
      <c r="G610" s="78"/>
      <c r="H610" s="78"/>
      <c r="I610" s="78"/>
      <c r="J610" s="78"/>
      <c r="O610" s="83"/>
      <c r="P610" s="84"/>
    </row>
    <row r="611">
      <c r="A611" s="83"/>
      <c r="B611" s="83"/>
      <c r="C611" s="83"/>
      <c r="F611" s="78"/>
      <c r="G611" s="78"/>
      <c r="H611" s="78"/>
      <c r="I611" s="78"/>
      <c r="J611" s="78"/>
      <c r="O611" s="83"/>
      <c r="P611" s="84"/>
    </row>
    <row r="612">
      <c r="A612" s="83"/>
      <c r="B612" s="83"/>
      <c r="C612" s="83"/>
      <c r="F612" s="78"/>
      <c r="G612" s="78"/>
      <c r="H612" s="78"/>
      <c r="I612" s="78"/>
      <c r="J612" s="78"/>
      <c r="O612" s="83"/>
      <c r="P612" s="84"/>
    </row>
    <row r="613">
      <c r="A613" s="83"/>
      <c r="B613" s="83"/>
      <c r="C613" s="83"/>
      <c r="F613" s="78"/>
      <c r="G613" s="78"/>
      <c r="H613" s="78"/>
      <c r="I613" s="78"/>
      <c r="J613" s="78"/>
      <c r="O613" s="83"/>
      <c r="P613" s="84"/>
    </row>
    <row r="614">
      <c r="A614" s="83"/>
      <c r="B614" s="83"/>
      <c r="C614" s="83"/>
      <c r="F614" s="78"/>
      <c r="G614" s="78"/>
      <c r="H614" s="78"/>
      <c r="I614" s="78"/>
      <c r="J614" s="78"/>
      <c r="O614" s="83"/>
      <c r="P614" s="84"/>
    </row>
    <row r="615">
      <c r="A615" s="83"/>
      <c r="B615" s="83"/>
      <c r="C615" s="83"/>
      <c r="F615" s="78"/>
      <c r="G615" s="78"/>
      <c r="H615" s="78"/>
      <c r="I615" s="78"/>
      <c r="J615" s="78"/>
      <c r="O615" s="83"/>
      <c r="P615" s="84"/>
    </row>
    <row r="616">
      <c r="A616" s="83"/>
      <c r="B616" s="83"/>
      <c r="C616" s="83"/>
      <c r="F616" s="78"/>
      <c r="G616" s="78"/>
      <c r="H616" s="78"/>
      <c r="I616" s="78"/>
      <c r="J616" s="78"/>
      <c r="O616" s="83"/>
      <c r="P616" s="84"/>
    </row>
    <row r="617">
      <c r="A617" s="83"/>
      <c r="B617" s="83"/>
      <c r="C617" s="83"/>
      <c r="F617" s="78"/>
      <c r="G617" s="78"/>
      <c r="H617" s="78"/>
      <c r="I617" s="78"/>
      <c r="J617" s="78"/>
      <c r="O617" s="83"/>
      <c r="P617" s="84"/>
    </row>
    <row r="618">
      <c r="A618" s="83"/>
      <c r="B618" s="83"/>
      <c r="C618" s="83"/>
      <c r="F618" s="78"/>
      <c r="G618" s="78"/>
      <c r="H618" s="78"/>
      <c r="I618" s="78"/>
      <c r="J618" s="78"/>
      <c r="O618" s="83"/>
      <c r="P618" s="84"/>
    </row>
    <row r="619">
      <c r="A619" s="83"/>
      <c r="B619" s="83"/>
      <c r="C619" s="83"/>
      <c r="F619" s="78"/>
      <c r="G619" s="78"/>
      <c r="H619" s="78"/>
      <c r="I619" s="78"/>
      <c r="J619" s="78"/>
      <c r="O619" s="83"/>
      <c r="P619" s="84"/>
    </row>
    <row r="620">
      <c r="A620" s="83"/>
      <c r="B620" s="83"/>
      <c r="C620" s="83"/>
      <c r="F620" s="78"/>
      <c r="G620" s="78"/>
      <c r="H620" s="78"/>
      <c r="I620" s="78"/>
      <c r="J620" s="78"/>
      <c r="O620" s="83"/>
      <c r="P620" s="84"/>
    </row>
    <row r="621">
      <c r="A621" s="83"/>
      <c r="B621" s="83"/>
      <c r="C621" s="83"/>
      <c r="F621" s="78"/>
      <c r="G621" s="78"/>
      <c r="H621" s="78"/>
      <c r="I621" s="78"/>
      <c r="J621" s="78"/>
      <c r="O621" s="83"/>
      <c r="P621" s="84"/>
    </row>
    <row r="622">
      <c r="A622" s="83"/>
      <c r="B622" s="83"/>
      <c r="C622" s="83"/>
      <c r="F622" s="78"/>
      <c r="G622" s="78"/>
      <c r="H622" s="78"/>
      <c r="I622" s="78"/>
      <c r="J622" s="78"/>
      <c r="O622" s="83"/>
      <c r="P622" s="84"/>
    </row>
    <row r="623">
      <c r="A623" s="83"/>
      <c r="B623" s="83"/>
      <c r="C623" s="83"/>
      <c r="F623" s="78"/>
      <c r="G623" s="78"/>
      <c r="H623" s="78"/>
      <c r="I623" s="78"/>
      <c r="J623" s="78"/>
      <c r="O623" s="83"/>
      <c r="P623" s="84"/>
    </row>
    <row r="624">
      <c r="A624" s="83"/>
      <c r="B624" s="83"/>
      <c r="C624" s="83"/>
      <c r="F624" s="78"/>
      <c r="G624" s="78"/>
      <c r="H624" s="78"/>
      <c r="I624" s="78"/>
      <c r="J624" s="78"/>
      <c r="O624" s="83"/>
      <c r="P624" s="84"/>
    </row>
    <row r="625">
      <c r="A625" s="83"/>
      <c r="B625" s="83"/>
      <c r="C625" s="83"/>
      <c r="F625" s="78"/>
      <c r="G625" s="78"/>
      <c r="H625" s="78"/>
      <c r="I625" s="78"/>
      <c r="J625" s="78"/>
      <c r="O625" s="83"/>
      <c r="P625" s="84"/>
    </row>
    <row r="626">
      <c r="A626" s="83"/>
      <c r="B626" s="83"/>
      <c r="C626" s="83"/>
      <c r="F626" s="78"/>
      <c r="G626" s="78"/>
      <c r="H626" s="78"/>
      <c r="I626" s="78"/>
      <c r="J626" s="78"/>
      <c r="O626" s="83"/>
      <c r="P626" s="84"/>
    </row>
    <row r="627">
      <c r="A627" s="83"/>
      <c r="B627" s="83"/>
      <c r="C627" s="83"/>
      <c r="F627" s="78"/>
      <c r="G627" s="78"/>
      <c r="H627" s="78"/>
      <c r="I627" s="78"/>
      <c r="J627" s="78"/>
      <c r="O627" s="83"/>
      <c r="P627" s="84"/>
    </row>
    <row r="628">
      <c r="A628" s="83"/>
      <c r="B628" s="83"/>
      <c r="C628" s="83"/>
      <c r="F628" s="78"/>
      <c r="G628" s="78"/>
      <c r="H628" s="78"/>
      <c r="I628" s="78"/>
      <c r="J628" s="78"/>
      <c r="O628" s="83"/>
      <c r="P628" s="84"/>
    </row>
    <row r="629">
      <c r="A629" s="83"/>
      <c r="B629" s="83"/>
      <c r="C629" s="83"/>
      <c r="F629" s="78"/>
      <c r="G629" s="78"/>
      <c r="H629" s="78"/>
      <c r="I629" s="78"/>
      <c r="J629" s="78"/>
      <c r="O629" s="83"/>
      <c r="P629" s="84"/>
    </row>
    <row r="630">
      <c r="A630" s="83"/>
      <c r="B630" s="83"/>
      <c r="C630" s="83"/>
      <c r="F630" s="78"/>
      <c r="G630" s="78"/>
      <c r="H630" s="78"/>
      <c r="I630" s="78"/>
      <c r="J630" s="78"/>
      <c r="O630" s="83"/>
      <c r="P630" s="84"/>
    </row>
    <row r="631">
      <c r="A631" s="83"/>
      <c r="B631" s="83"/>
      <c r="C631" s="83"/>
      <c r="F631" s="78"/>
      <c r="G631" s="78"/>
      <c r="H631" s="78"/>
      <c r="I631" s="78"/>
      <c r="J631" s="78"/>
      <c r="O631" s="83"/>
      <c r="P631" s="84"/>
    </row>
    <row r="632">
      <c r="A632" s="83"/>
      <c r="B632" s="83"/>
      <c r="C632" s="83"/>
      <c r="F632" s="78"/>
      <c r="G632" s="78"/>
      <c r="H632" s="78"/>
      <c r="I632" s="78"/>
      <c r="J632" s="78"/>
      <c r="O632" s="83"/>
      <c r="P632" s="84"/>
    </row>
    <row r="633">
      <c r="A633" s="83"/>
      <c r="B633" s="83"/>
      <c r="C633" s="83"/>
      <c r="F633" s="78"/>
      <c r="G633" s="78"/>
      <c r="H633" s="78"/>
      <c r="I633" s="78"/>
      <c r="J633" s="78"/>
      <c r="O633" s="83"/>
      <c r="P633" s="84"/>
    </row>
    <row r="634">
      <c r="A634" s="83"/>
      <c r="B634" s="83"/>
      <c r="C634" s="83"/>
      <c r="F634" s="78"/>
      <c r="G634" s="78"/>
      <c r="H634" s="78"/>
      <c r="I634" s="78"/>
      <c r="J634" s="78"/>
      <c r="O634" s="83"/>
      <c r="P634" s="84"/>
    </row>
    <row r="635">
      <c r="A635" s="83"/>
      <c r="B635" s="83"/>
      <c r="C635" s="83"/>
      <c r="F635" s="78"/>
      <c r="G635" s="78"/>
      <c r="H635" s="78"/>
      <c r="I635" s="78"/>
      <c r="J635" s="78"/>
      <c r="O635" s="83"/>
      <c r="P635" s="84"/>
    </row>
    <row r="636">
      <c r="A636" s="83"/>
      <c r="B636" s="83"/>
      <c r="C636" s="83"/>
      <c r="F636" s="78"/>
      <c r="G636" s="78"/>
      <c r="H636" s="78"/>
      <c r="I636" s="78"/>
      <c r="J636" s="78"/>
      <c r="O636" s="83"/>
      <c r="P636" s="84"/>
    </row>
    <row r="637">
      <c r="A637" s="83"/>
      <c r="B637" s="83"/>
      <c r="C637" s="83"/>
      <c r="F637" s="78"/>
      <c r="G637" s="78"/>
      <c r="H637" s="78"/>
      <c r="I637" s="78"/>
      <c r="J637" s="78"/>
      <c r="O637" s="83"/>
      <c r="P637" s="84"/>
    </row>
    <row r="638">
      <c r="A638" s="83"/>
      <c r="B638" s="83"/>
      <c r="C638" s="83"/>
      <c r="F638" s="78"/>
      <c r="G638" s="78"/>
      <c r="H638" s="78"/>
      <c r="I638" s="78"/>
      <c r="J638" s="78"/>
      <c r="O638" s="83"/>
      <c r="P638" s="84"/>
    </row>
    <row r="639">
      <c r="A639" s="83"/>
      <c r="B639" s="83"/>
      <c r="C639" s="83"/>
      <c r="F639" s="78"/>
      <c r="G639" s="78"/>
      <c r="H639" s="78"/>
      <c r="I639" s="78"/>
      <c r="J639" s="78"/>
      <c r="O639" s="83"/>
      <c r="P639" s="84"/>
    </row>
    <row r="640">
      <c r="A640" s="83"/>
      <c r="B640" s="83"/>
      <c r="C640" s="83"/>
      <c r="F640" s="78"/>
      <c r="G640" s="78"/>
      <c r="H640" s="78"/>
      <c r="I640" s="78"/>
      <c r="J640" s="78"/>
      <c r="O640" s="83"/>
      <c r="P640" s="84"/>
    </row>
    <row r="641">
      <c r="A641" s="83"/>
      <c r="B641" s="83"/>
      <c r="C641" s="83"/>
      <c r="F641" s="78"/>
      <c r="G641" s="78"/>
      <c r="H641" s="78"/>
      <c r="I641" s="78"/>
      <c r="J641" s="78"/>
      <c r="O641" s="83"/>
      <c r="P641" s="84"/>
    </row>
    <row r="642">
      <c r="A642" s="83"/>
      <c r="B642" s="83"/>
      <c r="C642" s="83"/>
      <c r="F642" s="78"/>
      <c r="G642" s="78"/>
      <c r="H642" s="78"/>
      <c r="I642" s="78"/>
      <c r="J642" s="78"/>
      <c r="O642" s="83"/>
      <c r="P642" s="84"/>
    </row>
    <row r="643">
      <c r="A643" s="83"/>
      <c r="B643" s="83"/>
      <c r="C643" s="83"/>
      <c r="F643" s="78"/>
      <c r="G643" s="78"/>
      <c r="H643" s="78"/>
      <c r="I643" s="78"/>
      <c r="J643" s="78"/>
      <c r="O643" s="83"/>
      <c r="P643" s="84"/>
    </row>
    <row r="644">
      <c r="A644" s="83"/>
      <c r="B644" s="83"/>
      <c r="C644" s="83"/>
      <c r="F644" s="78"/>
      <c r="G644" s="78"/>
      <c r="H644" s="78"/>
      <c r="I644" s="78"/>
      <c r="J644" s="78"/>
      <c r="O644" s="83"/>
      <c r="P644" s="84"/>
    </row>
    <row r="645">
      <c r="A645" s="83"/>
      <c r="B645" s="83"/>
      <c r="C645" s="83"/>
      <c r="F645" s="78"/>
      <c r="G645" s="78"/>
      <c r="H645" s="78"/>
      <c r="I645" s="78"/>
      <c r="J645" s="78"/>
      <c r="O645" s="83"/>
      <c r="P645" s="84"/>
    </row>
    <row r="646">
      <c r="A646" s="83"/>
      <c r="B646" s="83"/>
      <c r="C646" s="83"/>
      <c r="F646" s="78"/>
      <c r="G646" s="78"/>
      <c r="H646" s="78"/>
      <c r="I646" s="78"/>
      <c r="J646" s="78"/>
      <c r="O646" s="83"/>
      <c r="P646" s="84"/>
    </row>
    <row r="647">
      <c r="A647" s="83"/>
      <c r="B647" s="83"/>
      <c r="C647" s="83"/>
      <c r="F647" s="78"/>
      <c r="G647" s="78"/>
      <c r="H647" s="78"/>
      <c r="I647" s="78"/>
      <c r="J647" s="78"/>
      <c r="O647" s="83"/>
      <c r="P647" s="84"/>
    </row>
    <row r="648">
      <c r="A648" s="83"/>
      <c r="B648" s="83"/>
      <c r="C648" s="83"/>
      <c r="F648" s="78"/>
      <c r="G648" s="78"/>
      <c r="H648" s="78"/>
      <c r="I648" s="78"/>
      <c r="J648" s="78"/>
      <c r="O648" s="83"/>
      <c r="P648" s="84"/>
    </row>
    <row r="649">
      <c r="A649" s="83"/>
      <c r="B649" s="83"/>
      <c r="C649" s="83"/>
      <c r="F649" s="78"/>
      <c r="G649" s="78"/>
      <c r="H649" s="78"/>
      <c r="I649" s="78"/>
      <c r="J649" s="78"/>
      <c r="O649" s="83"/>
      <c r="P649" s="84"/>
    </row>
    <row r="650">
      <c r="A650" s="83"/>
      <c r="B650" s="83"/>
      <c r="C650" s="83"/>
      <c r="F650" s="78"/>
      <c r="G650" s="78"/>
      <c r="H650" s="78"/>
      <c r="I650" s="78"/>
      <c r="J650" s="78"/>
      <c r="O650" s="83"/>
      <c r="P650" s="84"/>
    </row>
    <row r="651">
      <c r="A651" s="83"/>
      <c r="B651" s="83"/>
      <c r="C651" s="83"/>
      <c r="F651" s="78"/>
      <c r="G651" s="78"/>
      <c r="H651" s="78"/>
      <c r="I651" s="78"/>
      <c r="J651" s="78"/>
      <c r="O651" s="83"/>
      <c r="P651" s="84"/>
    </row>
    <row r="652">
      <c r="A652" s="83"/>
      <c r="B652" s="83"/>
      <c r="C652" s="83"/>
      <c r="F652" s="78"/>
      <c r="G652" s="78"/>
      <c r="H652" s="78"/>
      <c r="I652" s="78"/>
      <c r="J652" s="78"/>
      <c r="O652" s="83"/>
      <c r="P652" s="84"/>
    </row>
    <row r="653">
      <c r="A653" s="83"/>
      <c r="B653" s="83"/>
      <c r="C653" s="83"/>
      <c r="F653" s="78"/>
      <c r="G653" s="78"/>
      <c r="H653" s="78"/>
      <c r="I653" s="78"/>
      <c r="J653" s="78"/>
      <c r="O653" s="83"/>
      <c r="P653" s="84"/>
    </row>
    <row r="654">
      <c r="A654" s="83"/>
      <c r="B654" s="83"/>
      <c r="C654" s="83"/>
      <c r="F654" s="78"/>
      <c r="G654" s="78"/>
      <c r="H654" s="78"/>
      <c r="I654" s="78"/>
      <c r="J654" s="78"/>
      <c r="O654" s="83"/>
      <c r="P654" s="84"/>
    </row>
    <row r="655">
      <c r="A655" s="83"/>
      <c r="B655" s="83"/>
      <c r="C655" s="83"/>
      <c r="F655" s="78"/>
      <c r="G655" s="78"/>
      <c r="H655" s="78"/>
      <c r="I655" s="78"/>
      <c r="J655" s="78"/>
      <c r="O655" s="83"/>
      <c r="P655" s="84"/>
    </row>
    <row r="656">
      <c r="A656" s="83"/>
      <c r="B656" s="83"/>
      <c r="C656" s="83"/>
      <c r="F656" s="78"/>
      <c r="G656" s="78"/>
      <c r="H656" s="78"/>
      <c r="I656" s="78"/>
      <c r="J656" s="78"/>
      <c r="O656" s="83"/>
      <c r="P656" s="84"/>
    </row>
    <row r="657">
      <c r="A657" s="83"/>
      <c r="B657" s="83"/>
      <c r="C657" s="83"/>
      <c r="F657" s="78"/>
      <c r="G657" s="78"/>
      <c r="H657" s="78"/>
      <c r="I657" s="78"/>
      <c r="J657" s="78"/>
      <c r="O657" s="83"/>
      <c r="P657" s="84"/>
    </row>
    <row r="658">
      <c r="A658" s="83"/>
      <c r="B658" s="83"/>
      <c r="C658" s="83"/>
      <c r="F658" s="78"/>
      <c r="G658" s="78"/>
      <c r="H658" s="78"/>
      <c r="I658" s="78"/>
      <c r="J658" s="78"/>
      <c r="O658" s="83"/>
      <c r="P658" s="84"/>
    </row>
    <row r="659">
      <c r="A659" s="83"/>
      <c r="B659" s="83"/>
      <c r="C659" s="83"/>
      <c r="F659" s="78"/>
      <c r="G659" s="78"/>
      <c r="H659" s="78"/>
      <c r="I659" s="78"/>
      <c r="J659" s="78"/>
      <c r="O659" s="83"/>
      <c r="P659" s="84"/>
    </row>
    <row r="660">
      <c r="A660" s="83"/>
      <c r="B660" s="83"/>
      <c r="C660" s="83"/>
      <c r="F660" s="78"/>
      <c r="G660" s="78"/>
      <c r="H660" s="78"/>
      <c r="I660" s="78"/>
      <c r="J660" s="78"/>
      <c r="O660" s="83"/>
      <c r="P660" s="84"/>
    </row>
    <row r="661">
      <c r="A661" s="83"/>
      <c r="B661" s="83"/>
      <c r="C661" s="83"/>
      <c r="F661" s="78"/>
      <c r="G661" s="78"/>
      <c r="H661" s="78"/>
      <c r="I661" s="78"/>
      <c r="J661" s="78"/>
      <c r="O661" s="83"/>
      <c r="P661" s="84"/>
    </row>
    <row r="662">
      <c r="A662" s="83"/>
      <c r="B662" s="83"/>
      <c r="C662" s="83"/>
      <c r="F662" s="78"/>
      <c r="G662" s="78"/>
      <c r="H662" s="78"/>
      <c r="I662" s="78"/>
      <c r="J662" s="78"/>
      <c r="O662" s="83"/>
      <c r="P662" s="84"/>
    </row>
    <row r="663">
      <c r="A663" s="83"/>
      <c r="B663" s="83"/>
      <c r="C663" s="83"/>
      <c r="F663" s="78"/>
      <c r="G663" s="78"/>
      <c r="H663" s="78"/>
      <c r="I663" s="78"/>
      <c r="J663" s="78"/>
      <c r="O663" s="83"/>
      <c r="P663" s="84"/>
    </row>
    <row r="664">
      <c r="A664" s="83"/>
      <c r="B664" s="83"/>
      <c r="C664" s="83"/>
      <c r="F664" s="78"/>
      <c r="G664" s="78"/>
      <c r="H664" s="78"/>
      <c r="I664" s="78"/>
      <c r="J664" s="78"/>
      <c r="O664" s="83"/>
      <c r="P664" s="84"/>
    </row>
    <row r="665">
      <c r="A665" s="83"/>
      <c r="B665" s="83"/>
      <c r="C665" s="83"/>
      <c r="F665" s="78"/>
      <c r="G665" s="78"/>
      <c r="H665" s="78"/>
      <c r="I665" s="78"/>
      <c r="J665" s="78"/>
      <c r="O665" s="83"/>
      <c r="P665" s="84"/>
    </row>
    <row r="666">
      <c r="A666" s="83"/>
      <c r="B666" s="83"/>
      <c r="C666" s="83"/>
      <c r="F666" s="78"/>
      <c r="G666" s="78"/>
      <c r="H666" s="78"/>
      <c r="I666" s="78"/>
      <c r="J666" s="78"/>
      <c r="O666" s="83"/>
      <c r="P666" s="84"/>
    </row>
    <row r="667">
      <c r="A667" s="83"/>
      <c r="B667" s="83"/>
      <c r="C667" s="83"/>
      <c r="F667" s="78"/>
      <c r="G667" s="78"/>
      <c r="H667" s="78"/>
      <c r="I667" s="78"/>
      <c r="J667" s="78"/>
      <c r="O667" s="83"/>
      <c r="P667" s="84"/>
    </row>
    <row r="668">
      <c r="A668" s="83"/>
      <c r="B668" s="83"/>
      <c r="C668" s="83"/>
      <c r="F668" s="78"/>
      <c r="G668" s="78"/>
      <c r="H668" s="78"/>
      <c r="I668" s="78"/>
      <c r="J668" s="78"/>
      <c r="O668" s="83"/>
      <c r="P668" s="84"/>
    </row>
    <row r="669">
      <c r="A669" s="83"/>
      <c r="B669" s="83"/>
      <c r="C669" s="83"/>
      <c r="F669" s="78"/>
      <c r="G669" s="78"/>
      <c r="H669" s="78"/>
      <c r="I669" s="78"/>
      <c r="J669" s="78"/>
      <c r="O669" s="83"/>
      <c r="P669" s="84"/>
    </row>
    <row r="670">
      <c r="A670" s="83"/>
      <c r="B670" s="83"/>
      <c r="C670" s="83"/>
      <c r="F670" s="78"/>
      <c r="G670" s="78"/>
      <c r="H670" s="78"/>
      <c r="I670" s="78"/>
      <c r="J670" s="78"/>
      <c r="O670" s="83"/>
      <c r="P670" s="84"/>
    </row>
    <row r="671">
      <c r="A671" s="83"/>
      <c r="B671" s="83"/>
      <c r="C671" s="83"/>
      <c r="F671" s="78"/>
      <c r="G671" s="78"/>
      <c r="H671" s="78"/>
      <c r="I671" s="78"/>
      <c r="J671" s="78"/>
      <c r="O671" s="83"/>
      <c r="P671" s="84"/>
    </row>
    <row r="672">
      <c r="A672" s="83"/>
      <c r="B672" s="83"/>
      <c r="C672" s="83"/>
      <c r="F672" s="78"/>
      <c r="G672" s="78"/>
      <c r="H672" s="78"/>
      <c r="I672" s="78"/>
      <c r="J672" s="78"/>
      <c r="O672" s="83"/>
      <c r="P672" s="84"/>
    </row>
    <row r="673">
      <c r="A673" s="83"/>
      <c r="B673" s="83"/>
      <c r="C673" s="83"/>
      <c r="F673" s="78"/>
      <c r="G673" s="78"/>
      <c r="H673" s="78"/>
      <c r="I673" s="78"/>
      <c r="J673" s="78"/>
      <c r="O673" s="83"/>
      <c r="P673" s="84"/>
    </row>
    <row r="674">
      <c r="A674" s="83"/>
      <c r="B674" s="83"/>
      <c r="C674" s="83"/>
      <c r="F674" s="78"/>
      <c r="G674" s="78"/>
      <c r="H674" s="78"/>
      <c r="I674" s="78"/>
      <c r="J674" s="78"/>
      <c r="O674" s="83"/>
      <c r="P674" s="84"/>
    </row>
    <row r="675">
      <c r="A675" s="83"/>
      <c r="B675" s="83"/>
      <c r="C675" s="83"/>
      <c r="F675" s="78"/>
      <c r="G675" s="78"/>
      <c r="H675" s="78"/>
      <c r="I675" s="78"/>
      <c r="J675" s="78"/>
      <c r="O675" s="83"/>
      <c r="P675" s="84"/>
    </row>
    <row r="676">
      <c r="A676" s="83"/>
      <c r="B676" s="83"/>
      <c r="C676" s="83"/>
      <c r="F676" s="78"/>
      <c r="G676" s="78"/>
      <c r="H676" s="78"/>
      <c r="I676" s="78"/>
      <c r="J676" s="78"/>
      <c r="O676" s="83"/>
      <c r="P676" s="84"/>
    </row>
    <row r="677">
      <c r="A677" s="83"/>
      <c r="B677" s="83"/>
      <c r="C677" s="83"/>
      <c r="F677" s="78"/>
      <c r="G677" s="78"/>
      <c r="H677" s="78"/>
      <c r="I677" s="78"/>
      <c r="J677" s="78"/>
      <c r="O677" s="83"/>
      <c r="P677" s="84"/>
    </row>
    <row r="678">
      <c r="A678" s="83"/>
      <c r="B678" s="83"/>
      <c r="C678" s="83"/>
      <c r="F678" s="78"/>
      <c r="G678" s="78"/>
      <c r="H678" s="78"/>
      <c r="I678" s="78"/>
      <c r="J678" s="78"/>
      <c r="O678" s="83"/>
      <c r="P678" s="84"/>
    </row>
    <row r="679">
      <c r="A679" s="83"/>
      <c r="B679" s="83"/>
      <c r="C679" s="83"/>
      <c r="F679" s="78"/>
      <c r="G679" s="78"/>
      <c r="H679" s="78"/>
      <c r="I679" s="78"/>
      <c r="J679" s="78"/>
      <c r="O679" s="83"/>
      <c r="P679" s="84"/>
    </row>
    <row r="680">
      <c r="A680" s="83"/>
      <c r="B680" s="83"/>
      <c r="C680" s="83"/>
      <c r="F680" s="78"/>
      <c r="G680" s="78"/>
      <c r="H680" s="78"/>
      <c r="I680" s="78"/>
      <c r="J680" s="78"/>
      <c r="O680" s="83"/>
      <c r="P680" s="84"/>
    </row>
    <row r="681">
      <c r="A681" s="83"/>
      <c r="B681" s="83"/>
      <c r="C681" s="83"/>
      <c r="F681" s="78"/>
      <c r="G681" s="78"/>
      <c r="H681" s="78"/>
      <c r="I681" s="78"/>
      <c r="J681" s="78"/>
      <c r="O681" s="83"/>
      <c r="P681" s="84"/>
    </row>
    <row r="682">
      <c r="A682" s="83"/>
      <c r="B682" s="83"/>
      <c r="C682" s="83"/>
      <c r="F682" s="78"/>
      <c r="G682" s="78"/>
      <c r="H682" s="78"/>
      <c r="I682" s="78"/>
      <c r="J682" s="78"/>
      <c r="O682" s="83"/>
      <c r="P682" s="84"/>
    </row>
    <row r="683">
      <c r="A683" s="83"/>
      <c r="B683" s="83"/>
      <c r="C683" s="83"/>
      <c r="F683" s="78"/>
      <c r="G683" s="78"/>
      <c r="H683" s="78"/>
      <c r="I683" s="78"/>
      <c r="J683" s="78"/>
      <c r="O683" s="83"/>
      <c r="P683" s="84"/>
    </row>
    <row r="684">
      <c r="A684" s="83"/>
      <c r="B684" s="83"/>
      <c r="C684" s="83"/>
      <c r="F684" s="78"/>
      <c r="G684" s="78"/>
      <c r="H684" s="78"/>
      <c r="I684" s="78"/>
      <c r="J684" s="78"/>
      <c r="O684" s="83"/>
      <c r="P684" s="84"/>
    </row>
    <row r="685">
      <c r="A685" s="83"/>
      <c r="B685" s="83"/>
      <c r="C685" s="83"/>
      <c r="F685" s="78"/>
      <c r="G685" s="78"/>
      <c r="H685" s="78"/>
      <c r="I685" s="78"/>
      <c r="J685" s="78"/>
      <c r="O685" s="83"/>
      <c r="P685" s="84"/>
    </row>
    <row r="686">
      <c r="A686" s="83"/>
      <c r="B686" s="83"/>
      <c r="C686" s="83"/>
      <c r="F686" s="78"/>
      <c r="G686" s="78"/>
      <c r="H686" s="78"/>
      <c r="I686" s="78"/>
      <c r="J686" s="78"/>
      <c r="O686" s="83"/>
      <c r="P686" s="84"/>
    </row>
    <row r="687">
      <c r="A687" s="83"/>
      <c r="B687" s="83"/>
      <c r="C687" s="83"/>
      <c r="F687" s="78"/>
      <c r="G687" s="78"/>
      <c r="H687" s="78"/>
      <c r="I687" s="78"/>
      <c r="J687" s="78"/>
      <c r="O687" s="83"/>
      <c r="P687" s="84"/>
    </row>
    <row r="688">
      <c r="A688" s="83"/>
      <c r="B688" s="83"/>
      <c r="C688" s="83"/>
      <c r="F688" s="78"/>
      <c r="G688" s="78"/>
      <c r="H688" s="78"/>
      <c r="I688" s="78"/>
      <c r="J688" s="78"/>
      <c r="O688" s="83"/>
      <c r="P688" s="84"/>
    </row>
    <row r="689">
      <c r="A689" s="83"/>
      <c r="B689" s="83"/>
      <c r="C689" s="83"/>
      <c r="F689" s="78"/>
      <c r="G689" s="78"/>
      <c r="H689" s="78"/>
      <c r="I689" s="78"/>
      <c r="J689" s="78"/>
      <c r="O689" s="83"/>
      <c r="P689" s="84"/>
    </row>
    <row r="690">
      <c r="A690" s="83"/>
      <c r="B690" s="83"/>
      <c r="C690" s="83"/>
      <c r="F690" s="78"/>
      <c r="G690" s="78"/>
      <c r="H690" s="78"/>
      <c r="I690" s="78"/>
      <c r="J690" s="78"/>
      <c r="O690" s="83"/>
      <c r="P690" s="84"/>
    </row>
    <row r="691">
      <c r="A691" s="83"/>
      <c r="B691" s="83"/>
      <c r="C691" s="83"/>
      <c r="F691" s="78"/>
      <c r="G691" s="78"/>
      <c r="H691" s="78"/>
      <c r="I691" s="78"/>
      <c r="J691" s="78"/>
      <c r="O691" s="83"/>
      <c r="P691" s="84"/>
    </row>
    <row r="692">
      <c r="A692" s="83"/>
      <c r="B692" s="83"/>
      <c r="C692" s="83"/>
      <c r="F692" s="78"/>
      <c r="G692" s="78"/>
      <c r="H692" s="78"/>
      <c r="I692" s="78"/>
      <c r="J692" s="78"/>
      <c r="O692" s="83"/>
      <c r="P692" s="84"/>
    </row>
    <row r="693">
      <c r="A693" s="83"/>
      <c r="B693" s="83"/>
      <c r="C693" s="83"/>
      <c r="F693" s="78"/>
      <c r="G693" s="78"/>
      <c r="H693" s="78"/>
      <c r="I693" s="78"/>
      <c r="J693" s="78"/>
      <c r="O693" s="83"/>
      <c r="P693" s="84"/>
    </row>
    <row r="694">
      <c r="A694" s="83"/>
      <c r="B694" s="83"/>
      <c r="C694" s="83"/>
      <c r="F694" s="78"/>
      <c r="G694" s="78"/>
      <c r="H694" s="78"/>
      <c r="I694" s="78"/>
      <c r="J694" s="78"/>
      <c r="O694" s="83"/>
      <c r="P694" s="84"/>
    </row>
    <row r="695">
      <c r="A695" s="83"/>
      <c r="B695" s="83"/>
      <c r="C695" s="83"/>
      <c r="F695" s="78"/>
      <c r="G695" s="78"/>
      <c r="H695" s="78"/>
      <c r="I695" s="78"/>
      <c r="J695" s="78"/>
      <c r="O695" s="83"/>
      <c r="P695" s="84"/>
    </row>
    <row r="696">
      <c r="A696" s="83"/>
      <c r="B696" s="83"/>
      <c r="C696" s="83"/>
      <c r="F696" s="78"/>
      <c r="G696" s="78"/>
      <c r="H696" s="78"/>
      <c r="I696" s="78"/>
      <c r="J696" s="78"/>
      <c r="O696" s="83"/>
      <c r="P696" s="84"/>
    </row>
    <row r="697">
      <c r="A697" s="83"/>
      <c r="B697" s="83"/>
      <c r="C697" s="83"/>
      <c r="F697" s="78"/>
      <c r="G697" s="78"/>
      <c r="H697" s="78"/>
      <c r="I697" s="78"/>
      <c r="J697" s="78"/>
      <c r="O697" s="83"/>
      <c r="P697" s="84"/>
    </row>
    <row r="698">
      <c r="A698" s="83"/>
      <c r="B698" s="83"/>
      <c r="C698" s="83"/>
      <c r="F698" s="78"/>
      <c r="G698" s="78"/>
      <c r="H698" s="78"/>
      <c r="I698" s="78"/>
      <c r="J698" s="78"/>
      <c r="O698" s="83"/>
      <c r="P698" s="84"/>
    </row>
    <row r="699">
      <c r="A699" s="83"/>
      <c r="B699" s="83"/>
      <c r="C699" s="83"/>
      <c r="F699" s="78"/>
      <c r="G699" s="78"/>
      <c r="H699" s="78"/>
      <c r="I699" s="78"/>
      <c r="J699" s="78"/>
      <c r="O699" s="83"/>
      <c r="P699" s="84"/>
    </row>
    <row r="700">
      <c r="A700" s="83"/>
      <c r="B700" s="83"/>
      <c r="C700" s="83"/>
      <c r="F700" s="78"/>
      <c r="G700" s="78"/>
      <c r="H700" s="78"/>
      <c r="I700" s="78"/>
      <c r="J700" s="78"/>
      <c r="O700" s="83"/>
      <c r="P700" s="84"/>
    </row>
    <row r="701">
      <c r="A701" s="83"/>
      <c r="B701" s="83"/>
      <c r="C701" s="83"/>
      <c r="F701" s="78"/>
      <c r="G701" s="78"/>
      <c r="H701" s="78"/>
      <c r="I701" s="78"/>
      <c r="J701" s="78"/>
      <c r="O701" s="83"/>
      <c r="P701" s="84"/>
    </row>
    <row r="702">
      <c r="A702" s="83"/>
      <c r="B702" s="83"/>
      <c r="C702" s="83"/>
      <c r="F702" s="78"/>
      <c r="G702" s="78"/>
      <c r="H702" s="78"/>
      <c r="I702" s="78"/>
      <c r="J702" s="78"/>
      <c r="O702" s="83"/>
      <c r="P702" s="84"/>
    </row>
    <row r="703">
      <c r="A703" s="83"/>
      <c r="B703" s="83"/>
      <c r="C703" s="83"/>
      <c r="F703" s="78"/>
      <c r="G703" s="78"/>
      <c r="H703" s="78"/>
      <c r="I703" s="78"/>
      <c r="J703" s="78"/>
      <c r="O703" s="83"/>
      <c r="P703" s="84"/>
    </row>
    <row r="704">
      <c r="A704" s="83"/>
      <c r="B704" s="83"/>
      <c r="C704" s="83"/>
      <c r="F704" s="78"/>
      <c r="G704" s="78"/>
      <c r="H704" s="78"/>
      <c r="I704" s="78"/>
      <c r="J704" s="78"/>
      <c r="O704" s="83"/>
      <c r="P704" s="84"/>
    </row>
    <row r="705">
      <c r="A705" s="83"/>
      <c r="B705" s="83"/>
      <c r="C705" s="83"/>
      <c r="F705" s="78"/>
      <c r="G705" s="78"/>
      <c r="H705" s="78"/>
      <c r="I705" s="78"/>
      <c r="J705" s="78"/>
      <c r="O705" s="83"/>
      <c r="P705" s="84"/>
    </row>
    <row r="706">
      <c r="A706" s="83"/>
      <c r="B706" s="83"/>
      <c r="C706" s="83"/>
      <c r="F706" s="78"/>
      <c r="G706" s="78"/>
      <c r="H706" s="78"/>
      <c r="I706" s="78"/>
      <c r="J706" s="78"/>
      <c r="O706" s="83"/>
      <c r="P706" s="84"/>
    </row>
    <row r="707">
      <c r="A707" s="83"/>
      <c r="B707" s="83"/>
      <c r="C707" s="83"/>
      <c r="F707" s="78"/>
      <c r="G707" s="78"/>
      <c r="H707" s="78"/>
      <c r="I707" s="78"/>
      <c r="J707" s="78"/>
      <c r="O707" s="83"/>
      <c r="P707" s="84"/>
    </row>
    <row r="708">
      <c r="A708" s="83"/>
      <c r="B708" s="83"/>
      <c r="C708" s="83"/>
      <c r="F708" s="78"/>
      <c r="G708" s="78"/>
      <c r="H708" s="78"/>
      <c r="I708" s="78"/>
      <c r="J708" s="78"/>
      <c r="O708" s="83"/>
      <c r="P708" s="84"/>
    </row>
    <row r="709">
      <c r="A709" s="83"/>
      <c r="B709" s="83"/>
      <c r="C709" s="83"/>
      <c r="F709" s="78"/>
      <c r="G709" s="78"/>
      <c r="H709" s="78"/>
      <c r="I709" s="78"/>
      <c r="J709" s="78"/>
      <c r="O709" s="83"/>
      <c r="P709" s="84"/>
    </row>
    <row r="710">
      <c r="A710" s="83"/>
      <c r="B710" s="83"/>
      <c r="C710" s="83"/>
      <c r="F710" s="78"/>
      <c r="G710" s="78"/>
      <c r="H710" s="78"/>
      <c r="I710" s="78"/>
      <c r="J710" s="78"/>
      <c r="O710" s="83"/>
      <c r="P710" s="84"/>
    </row>
    <row r="711">
      <c r="A711" s="83"/>
      <c r="B711" s="83"/>
      <c r="C711" s="83"/>
      <c r="F711" s="78"/>
      <c r="G711" s="78"/>
      <c r="H711" s="78"/>
      <c r="I711" s="78"/>
      <c r="J711" s="78"/>
      <c r="O711" s="83"/>
      <c r="P711" s="84"/>
    </row>
    <row r="712">
      <c r="A712" s="83"/>
      <c r="B712" s="83"/>
      <c r="C712" s="83"/>
      <c r="F712" s="78"/>
      <c r="G712" s="78"/>
      <c r="H712" s="78"/>
      <c r="I712" s="78"/>
      <c r="J712" s="78"/>
      <c r="O712" s="83"/>
      <c r="P712" s="84"/>
    </row>
    <row r="713">
      <c r="A713" s="83"/>
      <c r="B713" s="83"/>
      <c r="C713" s="83"/>
      <c r="F713" s="78"/>
      <c r="G713" s="78"/>
      <c r="H713" s="78"/>
      <c r="I713" s="78"/>
      <c r="J713" s="78"/>
      <c r="O713" s="83"/>
      <c r="P713" s="84"/>
    </row>
    <row r="714">
      <c r="A714" s="83"/>
      <c r="B714" s="83"/>
      <c r="C714" s="83"/>
      <c r="F714" s="78"/>
      <c r="G714" s="78"/>
      <c r="H714" s="78"/>
      <c r="I714" s="78"/>
      <c r="J714" s="78"/>
      <c r="O714" s="83"/>
      <c r="P714" s="84"/>
    </row>
    <row r="715">
      <c r="A715" s="83"/>
      <c r="B715" s="83"/>
      <c r="C715" s="83"/>
      <c r="F715" s="78"/>
      <c r="G715" s="78"/>
      <c r="H715" s="78"/>
      <c r="I715" s="78"/>
      <c r="J715" s="78"/>
      <c r="O715" s="83"/>
      <c r="P715" s="84"/>
    </row>
    <row r="716">
      <c r="A716" s="83"/>
      <c r="B716" s="83"/>
      <c r="C716" s="83"/>
      <c r="F716" s="78"/>
      <c r="G716" s="78"/>
      <c r="H716" s="78"/>
      <c r="I716" s="78"/>
      <c r="J716" s="78"/>
      <c r="O716" s="83"/>
      <c r="P716" s="84"/>
    </row>
    <row r="717">
      <c r="A717" s="83"/>
      <c r="B717" s="83"/>
      <c r="C717" s="83"/>
      <c r="F717" s="78"/>
      <c r="G717" s="78"/>
      <c r="H717" s="78"/>
      <c r="I717" s="78"/>
      <c r="J717" s="78"/>
      <c r="O717" s="83"/>
      <c r="P717" s="84"/>
    </row>
    <row r="718">
      <c r="A718" s="83"/>
      <c r="B718" s="83"/>
      <c r="C718" s="83"/>
      <c r="F718" s="78"/>
      <c r="G718" s="78"/>
      <c r="H718" s="78"/>
      <c r="I718" s="78"/>
      <c r="J718" s="78"/>
      <c r="O718" s="83"/>
      <c r="P718" s="84"/>
    </row>
    <row r="719">
      <c r="A719" s="83"/>
      <c r="B719" s="83"/>
      <c r="C719" s="83"/>
      <c r="F719" s="78"/>
      <c r="G719" s="78"/>
      <c r="H719" s="78"/>
      <c r="I719" s="78"/>
      <c r="J719" s="78"/>
      <c r="O719" s="83"/>
      <c r="P719" s="84"/>
    </row>
    <row r="720">
      <c r="A720" s="83"/>
      <c r="B720" s="83"/>
      <c r="C720" s="83"/>
      <c r="F720" s="78"/>
      <c r="G720" s="78"/>
      <c r="H720" s="78"/>
      <c r="I720" s="78"/>
      <c r="J720" s="78"/>
      <c r="O720" s="83"/>
      <c r="P720" s="84"/>
    </row>
    <row r="721">
      <c r="A721" s="83"/>
      <c r="B721" s="83"/>
      <c r="C721" s="83"/>
      <c r="F721" s="78"/>
      <c r="G721" s="78"/>
      <c r="H721" s="78"/>
      <c r="I721" s="78"/>
      <c r="J721" s="78"/>
      <c r="O721" s="83"/>
      <c r="P721" s="84"/>
    </row>
    <row r="722">
      <c r="A722" s="83"/>
      <c r="B722" s="83"/>
      <c r="C722" s="83"/>
      <c r="F722" s="78"/>
      <c r="G722" s="78"/>
      <c r="H722" s="78"/>
      <c r="I722" s="78"/>
      <c r="J722" s="78"/>
      <c r="O722" s="83"/>
      <c r="P722" s="84"/>
    </row>
    <row r="723">
      <c r="A723" s="83"/>
      <c r="B723" s="83"/>
      <c r="C723" s="83"/>
      <c r="F723" s="78"/>
      <c r="G723" s="78"/>
      <c r="H723" s="78"/>
      <c r="I723" s="78"/>
      <c r="J723" s="78"/>
      <c r="O723" s="83"/>
      <c r="P723" s="84"/>
    </row>
    <row r="724">
      <c r="A724" s="83"/>
      <c r="B724" s="83"/>
      <c r="C724" s="83"/>
      <c r="F724" s="78"/>
      <c r="G724" s="78"/>
      <c r="H724" s="78"/>
      <c r="I724" s="78"/>
      <c r="J724" s="78"/>
      <c r="O724" s="83"/>
      <c r="P724" s="84"/>
    </row>
    <row r="725">
      <c r="A725" s="83"/>
      <c r="B725" s="83"/>
      <c r="C725" s="83"/>
      <c r="F725" s="78"/>
      <c r="G725" s="78"/>
      <c r="H725" s="78"/>
      <c r="I725" s="78"/>
      <c r="J725" s="78"/>
      <c r="O725" s="83"/>
      <c r="P725" s="84"/>
    </row>
    <row r="726">
      <c r="A726" s="83"/>
      <c r="B726" s="83"/>
      <c r="C726" s="83"/>
      <c r="F726" s="78"/>
      <c r="G726" s="78"/>
      <c r="H726" s="78"/>
      <c r="I726" s="78"/>
      <c r="J726" s="78"/>
      <c r="O726" s="83"/>
      <c r="P726" s="84"/>
    </row>
    <row r="727">
      <c r="A727" s="83"/>
      <c r="B727" s="83"/>
      <c r="C727" s="83"/>
      <c r="F727" s="78"/>
      <c r="G727" s="78"/>
      <c r="H727" s="78"/>
      <c r="I727" s="78"/>
      <c r="J727" s="78"/>
      <c r="O727" s="83"/>
      <c r="P727" s="84"/>
    </row>
    <row r="728">
      <c r="A728" s="83"/>
      <c r="B728" s="83"/>
      <c r="C728" s="83"/>
      <c r="F728" s="78"/>
      <c r="G728" s="78"/>
      <c r="H728" s="78"/>
      <c r="I728" s="78"/>
      <c r="J728" s="78"/>
      <c r="O728" s="83"/>
      <c r="P728" s="84"/>
    </row>
    <row r="729">
      <c r="A729" s="83"/>
      <c r="B729" s="83"/>
      <c r="C729" s="83"/>
      <c r="F729" s="78"/>
      <c r="G729" s="78"/>
      <c r="H729" s="78"/>
      <c r="I729" s="78"/>
      <c r="J729" s="78"/>
      <c r="O729" s="83"/>
      <c r="P729" s="84"/>
    </row>
    <row r="730">
      <c r="A730" s="83"/>
      <c r="B730" s="83"/>
      <c r="C730" s="83"/>
      <c r="F730" s="78"/>
      <c r="G730" s="78"/>
      <c r="H730" s="78"/>
      <c r="I730" s="78"/>
      <c r="J730" s="78"/>
      <c r="O730" s="83"/>
      <c r="P730" s="84"/>
    </row>
    <row r="731">
      <c r="A731" s="83"/>
      <c r="B731" s="83"/>
      <c r="C731" s="83"/>
      <c r="F731" s="78"/>
      <c r="G731" s="78"/>
      <c r="H731" s="78"/>
      <c r="I731" s="78"/>
      <c r="J731" s="78"/>
      <c r="O731" s="83"/>
      <c r="P731" s="84"/>
    </row>
    <row r="732">
      <c r="A732" s="83"/>
      <c r="B732" s="83"/>
      <c r="C732" s="83"/>
      <c r="F732" s="78"/>
      <c r="G732" s="78"/>
      <c r="H732" s="78"/>
      <c r="I732" s="78"/>
      <c r="J732" s="78"/>
      <c r="O732" s="83"/>
      <c r="P732" s="84"/>
    </row>
    <row r="733">
      <c r="A733" s="83"/>
      <c r="B733" s="83"/>
      <c r="C733" s="83"/>
      <c r="F733" s="78"/>
      <c r="G733" s="78"/>
      <c r="H733" s="78"/>
      <c r="I733" s="78"/>
      <c r="J733" s="78"/>
      <c r="O733" s="83"/>
      <c r="P733" s="84"/>
    </row>
    <row r="734">
      <c r="A734" s="83"/>
      <c r="B734" s="83"/>
      <c r="C734" s="83"/>
      <c r="F734" s="78"/>
      <c r="G734" s="78"/>
      <c r="H734" s="78"/>
      <c r="I734" s="78"/>
      <c r="J734" s="78"/>
      <c r="O734" s="83"/>
      <c r="P734" s="84"/>
    </row>
    <row r="735">
      <c r="A735" s="83"/>
      <c r="B735" s="83"/>
      <c r="C735" s="83"/>
      <c r="F735" s="78"/>
      <c r="G735" s="78"/>
      <c r="H735" s="78"/>
      <c r="I735" s="78"/>
      <c r="J735" s="78"/>
      <c r="O735" s="83"/>
      <c r="P735" s="84"/>
    </row>
    <row r="736">
      <c r="A736" s="83"/>
      <c r="B736" s="83"/>
      <c r="C736" s="83"/>
      <c r="F736" s="78"/>
      <c r="G736" s="78"/>
      <c r="H736" s="78"/>
      <c r="I736" s="78"/>
      <c r="J736" s="78"/>
      <c r="O736" s="83"/>
      <c r="P736" s="84"/>
    </row>
    <row r="737">
      <c r="A737" s="83"/>
      <c r="B737" s="83"/>
      <c r="C737" s="83"/>
      <c r="F737" s="78"/>
      <c r="G737" s="78"/>
      <c r="H737" s="78"/>
      <c r="I737" s="78"/>
      <c r="J737" s="78"/>
      <c r="O737" s="83"/>
      <c r="P737" s="84"/>
    </row>
    <row r="738">
      <c r="A738" s="83"/>
      <c r="B738" s="83"/>
      <c r="C738" s="83"/>
      <c r="F738" s="78"/>
      <c r="G738" s="78"/>
      <c r="H738" s="78"/>
      <c r="I738" s="78"/>
      <c r="J738" s="78"/>
      <c r="O738" s="83"/>
      <c r="P738" s="84"/>
    </row>
    <row r="739">
      <c r="A739" s="83"/>
      <c r="B739" s="83"/>
      <c r="C739" s="83"/>
      <c r="F739" s="78"/>
      <c r="G739" s="78"/>
      <c r="H739" s="78"/>
      <c r="I739" s="78"/>
      <c r="J739" s="78"/>
      <c r="O739" s="83"/>
      <c r="P739" s="84"/>
    </row>
    <row r="740">
      <c r="A740" s="83"/>
      <c r="B740" s="83"/>
      <c r="C740" s="83"/>
      <c r="F740" s="78"/>
      <c r="G740" s="78"/>
      <c r="H740" s="78"/>
      <c r="I740" s="78"/>
      <c r="J740" s="78"/>
      <c r="O740" s="83"/>
      <c r="P740" s="84"/>
    </row>
    <row r="741">
      <c r="A741" s="83"/>
      <c r="B741" s="83"/>
      <c r="C741" s="83"/>
      <c r="F741" s="78"/>
      <c r="G741" s="78"/>
      <c r="H741" s="78"/>
      <c r="I741" s="78"/>
      <c r="J741" s="78"/>
      <c r="O741" s="83"/>
      <c r="P741" s="84"/>
    </row>
    <row r="742">
      <c r="A742" s="83"/>
      <c r="B742" s="83"/>
      <c r="C742" s="83"/>
      <c r="F742" s="78"/>
      <c r="G742" s="78"/>
      <c r="H742" s="78"/>
      <c r="I742" s="78"/>
      <c r="J742" s="78"/>
      <c r="O742" s="83"/>
      <c r="P742" s="84"/>
    </row>
    <row r="743">
      <c r="A743" s="83"/>
      <c r="B743" s="83"/>
      <c r="C743" s="83"/>
      <c r="F743" s="78"/>
      <c r="G743" s="78"/>
      <c r="H743" s="78"/>
      <c r="I743" s="78"/>
      <c r="J743" s="78"/>
      <c r="O743" s="83"/>
      <c r="P743" s="84"/>
    </row>
    <row r="744">
      <c r="A744" s="83"/>
      <c r="B744" s="83"/>
      <c r="C744" s="83"/>
      <c r="F744" s="78"/>
      <c r="G744" s="78"/>
      <c r="H744" s="78"/>
      <c r="I744" s="78"/>
      <c r="J744" s="78"/>
      <c r="O744" s="83"/>
      <c r="P744" s="84"/>
    </row>
    <row r="745">
      <c r="A745" s="83"/>
      <c r="B745" s="83"/>
      <c r="C745" s="83"/>
      <c r="F745" s="78"/>
      <c r="G745" s="78"/>
      <c r="H745" s="78"/>
      <c r="I745" s="78"/>
      <c r="J745" s="78"/>
      <c r="O745" s="83"/>
      <c r="P745" s="84"/>
    </row>
    <row r="746">
      <c r="A746" s="83"/>
      <c r="B746" s="83"/>
      <c r="C746" s="83"/>
      <c r="F746" s="78"/>
      <c r="G746" s="78"/>
      <c r="H746" s="78"/>
      <c r="I746" s="78"/>
      <c r="J746" s="78"/>
      <c r="O746" s="83"/>
      <c r="P746" s="84"/>
    </row>
    <row r="747">
      <c r="A747" s="83"/>
      <c r="B747" s="83"/>
      <c r="C747" s="83"/>
      <c r="F747" s="78"/>
      <c r="G747" s="78"/>
      <c r="H747" s="78"/>
      <c r="I747" s="78"/>
      <c r="J747" s="78"/>
      <c r="O747" s="83"/>
      <c r="P747" s="84"/>
    </row>
    <row r="748">
      <c r="A748" s="83"/>
      <c r="B748" s="83"/>
      <c r="C748" s="83"/>
      <c r="F748" s="78"/>
      <c r="G748" s="78"/>
      <c r="H748" s="78"/>
      <c r="I748" s="78"/>
      <c r="J748" s="78"/>
      <c r="O748" s="83"/>
      <c r="P748" s="84"/>
    </row>
    <row r="749">
      <c r="A749" s="83"/>
      <c r="B749" s="83"/>
      <c r="C749" s="83"/>
      <c r="F749" s="78"/>
      <c r="G749" s="78"/>
      <c r="H749" s="78"/>
      <c r="I749" s="78"/>
      <c r="J749" s="78"/>
      <c r="O749" s="83"/>
      <c r="P749" s="84"/>
    </row>
    <row r="750">
      <c r="A750" s="83"/>
      <c r="B750" s="83"/>
      <c r="C750" s="83"/>
      <c r="F750" s="78"/>
      <c r="G750" s="78"/>
      <c r="H750" s="78"/>
      <c r="I750" s="78"/>
      <c r="J750" s="78"/>
      <c r="O750" s="83"/>
      <c r="P750" s="84"/>
    </row>
    <row r="751">
      <c r="A751" s="83"/>
      <c r="B751" s="83"/>
      <c r="C751" s="83"/>
      <c r="F751" s="78"/>
      <c r="G751" s="78"/>
      <c r="H751" s="78"/>
      <c r="I751" s="78"/>
      <c r="J751" s="78"/>
      <c r="O751" s="83"/>
      <c r="P751" s="84"/>
    </row>
    <row r="752">
      <c r="A752" s="83"/>
      <c r="B752" s="83"/>
      <c r="C752" s="83"/>
      <c r="F752" s="78"/>
      <c r="G752" s="78"/>
      <c r="H752" s="78"/>
      <c r="I752" s="78"/>
      <c r="J752" s="78"/>
      <c r="O752" s="83"/>
      <c r="P752" s="84"/>
    </row>
    <row r="753">
      <c r="A753" s="83"/>
      <c r="B753" s="83"/>
      <c r="C753" s="83"/>
      <c r="F753" s="78"/>
      <c r="G753" s="78"/>
      <c r="H753" s="78"/>
      <c r="I753" s="78"/>
      <c r="J753" s="78"/>
      <c r="O753" s="83"/>
      <c r="P753" s="84"/>
    </row>
    <row r="754">
      <c r="A754" s="83"/>
      <c r="B754" s="83"/>
      <c r="C754" s="83"/>
      <c r="F754" s="78"/>
      <c r="G754" s="78"/>
      <c r="H754" s="78"/>
      <c r="I754" s="78"/>
      <c r="J754" s="78"/>
      <c r="O754" s="83"/>
      <c r="P754" s="84"/>
    </row>
    <row r="755">
      <c r="A755" s="83"/>
      <c r="B755" s="83"/>
      <c r="C755" s="83"/>
      <c r="F755" s="78"/>
      <c r="G755" s="78"/>
      <c r="H755" s="78"/>
      <c r="I755" s="78"/>
      <c r="J755" s="78"/>
      <c r="O755" s="83"/>
      <c r="P755" s="84"/>
    </row>
    <row r="756">
      <c r="A756" s="83"/>
      <c r="B756" s="83"/>
      <c r="C756" s="83"/>
      <c r="F756" s="78"/>
      <c r="G756" s="78"/>
      <c r="H756" s="78"/>
      <c r="I756" s="78"/>
      <c r="J756" s="78"/>
      <c r="O756" s="83"/>
      <c r="P756" s="84"/>
    </row>
    <row r="757">
      <c r="A757" s="83"/>
      <c r="B757" s="83"/>
      <c r="C757" s="83"/>
      <c r="F757" s="78"/>
      <c r="G757" s="78"/>
      <c r="H757" s="78"/>
      <c r="I757" s="78"/>
      <c r="J757" s="78"/>
      <c r="O757" s="83"/>
      <c r="P757" s="84"/>
    </row>
    <row r="758">
      <c r="A758" s="83"/>
      <c r="B758" s="83"/>
      <c r="C758" s="83"/>
      <c r="F758" s="78"/>
      <c r="G758" s="78"/>
      <c r="H758" s="78"/>
      <c r="I758" s="78"/>
      <c r="J758" s="78"/>
      <c r="O758" s="83"/>
      <c r="P758" s="84"/>
    </row>
    <row r="759">
      <c r="A759" s="83"/>
      <c r="B759" s="83"/>
      <c r="C759" s="83"/>
      <c r="F759" s="78"/>
      <c r="G759" s="78"/>
      <c r="H759" s="78"/>
      <c r="I759" s="78"/>
      <c r="J759" s="78"/>
      <c r="O759" s="83"/>
      <c r="P759" s="84"/>
    </row>
    <row r="760">
      <c r="A760" s="83"/>
      <c r="B760" s="83"/>
      <c r="C760" s="83"/>
      <c r="F760" s="78"/>
      <c r="G760" s="78"/>
      <c r="H760" s="78"/>
      <c r="I760" s="78"/>
      <c r="J760" s="78"/>
      <c r="O760" s="83"/>
      <c r="P760" s="84"/>
    </row>
    <row r="761">
      <c r="A761" s="83"/>
      <c r="B761" s="83"/>
      <c r="C761" s="83"/>
      <c r="F761" s="78"/>
      <c r="G761" s="78"/>
      <c r="H761" s="78"/>
      <c r="I761" s="78"/>
      <c r="J761" s="78"/>
      <c r="O761" s="83"/>
      <c r="P761" s="84"/>
    </row>
    <row r="762">
      <c r="A762" s="83"/>
      <c r="B762" s="83"/>
      <c r="C762" s="83"/>
      <c r="F762" s="78"/>
      <c r="G762" s="78"/>
      <c r="H762" s="78"/>
      <c r="I762" s="78"/>
      <c r="J762" s="78"/>
      <c r="O762" s="83"/>
      <c r="P762" s="84"/>
    </row>
    <row r="763">
      <c r="A763" s="83"/>
      <c r="B763" s="83"/>
      <c r="C763" s="83"/>
      <c r="F763" s="78"/>
      <c r="G763" s="78"/>
      <c r="H763" s="78"/>
      <c r="I763" s="78"/>
      <c r="J763" s="78"/>
      <c r="O763" s="83"/>
      <c r="P763" s="84"/>
    </row>
    <row r="764">
      <c r="A764" s="83"/>
      <c r="B764" s="83"/>
      <c r="C764" s="83"/>
      <c r="F764" s="78"/>
      <c r="G764" s="78"/>
      <c r="H764" s="78"/>
      <c r="I764" s="78"/>
      <c r="J764" s="78"/>
      <c r="O764" s="83"/>
      <c r="P764" s="84"/>
    </row>
    <row r="765">
      <c r="A765" s="83"/>
      <c r="B765" s="83"/>
      <c r="C765" s="83"/>
      <c r="F765" s="78"/>
      <c r="G765" s="78"/>
      <c r="H765" s="78"/>
      <c r="I765" s="78"/>
      <c r="J765" s="78"/>
      <c r="O765" s="83"/>
      <c r="P765" s="84"/>
    </row>
    <row r="766">
      <c r="A766" s="83"/>
      <c r="B766" s="83"/>
      <c r="C766" s="83"/>
      <c r="F766" s="78"/>
      <c r="G766" s="78"/>
      <c r="H766" s="78"/>
      <c r="I766" s="78"/>
      <c r="J766" s="78"/>
      <c r="O766" s="83"/>
      <c r="P766" s="84"/>
    </row>
    <row r="767">
      <c r="A767" s="83"/>
      <c r="B767" s="83"/>
      <c r="C767" s="83"/>
      <c r="F767" s="78"/>
      <c r="G767" s="78"/>
      <c r="H767" s="78"/>
      <c r="I767" s="78"/>
      <c r="J767" s="78"/>
      <c r="O767" s="83"/>
      <c r="P767" s="84"/>
    </row>
    <row r="768">
      <c r="A768" s="83"/>
      <c r="B768" s="83"/>
      <c r="C768" s="83"/>
      <c r="F768" s="78"/>
      <c r="G768" s="78"/>
      <c r="H768" s="78"/>
      <c r="I768" s="78"/>
      <c r="J768" s="78"/>
      <c r="O768" s="83"/>
      <c r="P768" s="84"/>
    </row>
    <row r="769">
      <c r="A769" s="83"/>
      <c r="B769" s="83"/>
      <c r="C769" s="83"/>
      <c r="F769" s="78"/>
      <c r="G769" s="78"/>
      <c r="H769" s="78"/>
      <c r="I769" s="78"/>
      <c r="J769" s="78"/>
      <c r="O769" s="83"/>
      <c r="P769" s="84"/>
    </row>
    <row r="770">
      <c r="A770" s="83"/>
      <c r="B770" s="83"/>
      <c r="C770" s="83"/>
      <c r="F770" s="78"/>
      <c r="G770" s="78"/>
      <c r="H770" s="78"/>
      <c r="I770" s="78"/>
      <c r="J770" s="78"/>
      <c r="O770" s="83"/>
      <c r="P770" s="84"/>
    </row>
    <row r="771">
      <c r="A771" s="83"/>
      <c r="B771" s="83"/>
      <c r="C771" s="83"/>
      <c r="F771" s="78"/>
      <c r="G771" s="78"/>
      <c r="H771" s="78"/>
      <c r="I771" s="78"/>
      <c r="J771" s="78"/>
      <c r="O771" s="83"/>
      <c r="P771" s="84"/>
    </row>
    <row r="772">
      <c r="A772" s="83"/>
      <c r="B772" s="83"/>
      <c r="C772" s="83"/>
      <c r="F772" s="78"/>
      <c r="G772" s="78"/>
      <c r="H772" s="78"/>
      <c r="I772" s="78"/>
      <c r="J772" s="78"/>
      <c r="O772" s="83"/>
      <c r="P772" s="84"/>
    </row>
    <row r="773">
      <c r="A773" s="83"/>
      <c r="B773" s="83"/>
      <c r="C773" s="83"/>
      <c r="F773" s="78"/>
      <c r="G773" s="78"/>
      <c r="H773" s="78"/>
      <c r="I773" s="78"/>
      <c r="J773" s="78"/>
      <c r="O773" s="83"/>
      <c r="P773" s="84"/>
    </row>
    <row r="774">
      <c r="A774" s="83"/>
      <c r="B774" s="83"/>
      <c r="C774" s="83"/>
      <c r="F774" s="78"/>
      <c r="G774" s="78"/>
      <c r="H774" s="78"/>
      <c r="I774" s="78"/>
      <c r="J774" s="78"/>
      <c r="O774" s="83"/>
      <c r="P774" s="84"/>
    </row>
    <row r="775">
      <c r="A775" s="83"/>
      <c r="B775" s="83"/>
      <c r="C775" s="83"/>
      <c r="F775" s="78"/>
      <c r="G775" s="78"/>
      <c r="H775" s="78"/>
      <c r="I775" s="78"/>
      <c r="J775" s="78"/>
      <c r="O775" s="83"/>
      <c r="P775" s="84"/>
    </row>
    <row r="776">
      <c r="A776" s="83"/>
      <c r="B776" s="83"/>
      <c r="C776" s="83"/>
      <c r="F776" s="78"/>
      <c r="G776" s="78"/>
      <c r="H776" s="78"/>
      <c r="I776" s="78"/>
      <c r="J776" s="78"/>
      <c r="O776" s="83"/>
      <c r="P776" s="84"/>
    </row>
    <row r="777">
      <c r="A777" s="83"/>
      <c r="B777" s="83"/>
      <c r="C777" s="83"/>
      <c r="F777" s="78"/>
      <c r="G777" s="78"/>
      <c r="H777" s="78"/>
      <c r="I777" s="78"/>
      <c r="J777" s="78"/>
      <c r="O777" s="83"/>
      <c r="P777" s="84"/>
    </row>
    <row r="778">
      <c r="A778" s="83"/>
      <c r="B778" s="83"/>
      <c r="C778" s="83"/>
      <c r="F778" s="78"/>
      <c r="G778" s="78"/>
      <c r="H778" s="78"/>
      <c r="I778" s="78"/>
      <c r="J778" s="78"/>
      <c r="O778" s="83"/>
      <c r="P778" s="84"/>
    </row>
    <row r="779">
      <c r="A779" s="83"/>
      <c r="B779" s="83"/>
      <c r="C779" s="83"/>
      <c r="F779" s="78"/>
      <c r="G779" s="78"/>
      <c r="H779" s="78"/>
      <c r="I779" s="78"/>
      <c r="J779" s="78"/>
      <c r="O779" s="83"/>
      <c r="P779" s="84"/>
    </row>
    <row r="780">
      <c r="A780" s="83"/>
      <c r="B780" s="83"/>
      <c r="C780" s="83"/>
      <c r="F780" s="78"/>
      <c r="G780" s="78"/>
      <c r="H780" s="78"/>
      <c r="I780" s="78"/>
      <c r="J780" s="78"/>
      <c r="O780" s="83"/>
      <c r="P780" s="84"/>
    </row>
    <row r="781">
      <c r="A781" s="83"/>
      <c r="B781" s="83"/>
      <c r="C781" s="83"/>
      <c r="F781" s="78"/>
      <c r="G781" s="78"/>
      <c r="H781" s="78"/>
      <c r="I781" s="78"/>
      <c r="J781" s="78"/>
      <c r="O781" s="83"/>
      <c r="P781" s="84"/>
    </row>
    <row r="782">
      <c r="A782" s="83"/>
      <c r="B782" s="83"/>
      <c r="C782" s="83"/>
      <c r="F782" s="78"/>
      <c r="G782" s="78"/>
      <c r="H782" s="78"/>
      <c r="I782" s="78"/>
      <c r="J782" s="78"/>
      <c r="O782" s="83"/>
      <c r="P782" s="84"/>
    </row>
    <row r="783">
      <c r="A783" s="83"/>
      <c r="B783" s="83"/>
      <c r="C783" s="83"/>
      <c r="F783" s="78"/>
      <c r="G783" s="78"/>
      <c r="H783" s="78"/>
      <c r="I783" s="78"/>
      <c r="J783" s="78"/>
      <c r="O783" s="83"/>
      <c r="P783" s="84"/>
    </row>
    <row r="784">
      <c r="A784" s="83"/>
      <c r="B784" s="83"/>
      <c r="C784" s="83"/>
      <c r="F784" s="78"/>
      <c r="G784" s="78"/>
      <c r="H784" s="78"/>
      <c r="I784" s="78"/>
      <c r="J784" s="78"/>
      <c r="O784" s="83"/>
      <c r="P784" s="84"/>
    </row>
    <row r="785">
      <c r="A785" s="83"/>
      <c r="B785" s="83"/>
      <c r="C785" s="83"/>
      <c r="F785" s="78"/>
      <c r="G785" s="78"/>
      <c r="H785" s="78"/>
      <c r="I785" s="78"/>
      <c r="J785" s="78"/>
      <c r="O785" s="83"/>
      <c r="P785" s="84"/>
    </row>
    <row r="786">
      <c r="A786" s="83"/>
      <c r="B786" s="83"/>
      <c r="C786" s="83"/>
      <c r="F786" s="78"/>
      <c r="G786" s="78"/>
      <c r="H786" s="78"/>
      <c r="I786" s="78"/>
      <c r="J786" s="78"/>
      <c r="O786" s="83"/>
      <c r="P786" s="84"/>
    </row>
    <row r="787">
      <c r="A787" s="83"/>
      <c r="B787" s="83"/>
      <c r="C787" s="83"/>
      <c r="F787" s="78"/>
      <c r="G787" s="78"/>
      <c r="H787" s="78"/>
      <c r="I787" s="78"/>
      <c r="J787" s="78"/>
      <c r="O787" s="83"/>
      <c r="P787" s="84"/>
    </row>
    <row r="788">
      <c r="A788" s="83"/>
      <c r="B788" s="83"/>
      <c r="C788" s="83"/>
      <c r="F788" s="78"/>
      <c r="G788" s="78"/>
      <c r="H788" s="78"/>
      <c r="I788" s="78"/>
      <c r="J788" s="78"/>
      <c r="O788" s="83"/>
      <c r="P788" s="84"/>
    </row>
    <row r="789">
      <c r="A789" s="83"/>
      <c r="B789" s="83"/>
      <c r="C789" s="83"/>
      <c r="F789" s="78"/>
      <c r="G789" s="78"/>
      <c r="H789" s="78"/>
      <c r="I789" s="78"/>
      <c r="J789" s="78"/>
      <c r="O789" s="83"/>
      <c r="P789" s="84"/>
    </row>
    <row r="790">
      <c r="A790" s="83"/>
      <c r="B790" s="83"/>
      <c r="C790" s="83"/>
      <c r="F790" s="78"/>
      <c r="G790" s="78"/>
      <c r="H790" s="78"/>
      <c r="I790" s="78"/>
      <c r="J790" s="78"/>
      <c r="O790" s="83"/>
      <c r="P790" s="84"/>
    </row>
    <row r="791">
      <c r="A791" s="83"/>
      <c r="B791" s="83"/>
      <c r="C791" s="83"/>
      <c r="F791" s="78"/>
      <c r="G791" s="78"/>
      <c r="H791" s="78"/>
      <c r="I791" s="78"/>
      <c r="J791" s="78"/>
      <c r="O791" s="83"/>
      <c r="P791" s="84"/>
    </row>
    <row r="792">
      <c r="A792" s="83"/>
      <c r="B792" s="83"/>
      <c r="C792" s="83"/>
      <c r="F792" s="78"/>
      <c r="G792" s="78"/>
      <c r="H792" s="78"/>
      <c r="I792" s="78"/>
      <c r="J792" s="78"/>
      <c r="O792" s="83"/>
      <c r="P792" s="84"/>
    </row>
    <row r="793">
      <c r="A793" s="83"/>
      <c r="B793" s="83"/>
      <c r="C793" s="83"/>
      <c r="F793" s="78"/>
      <c r="G793" s="78"/>
      <c r="H793" s="78"/>
      <c r="I793" s="78"/>
      <c r="J793" s="78"/>
      <c r="O793" s="83"/>
      <c r="P793" s="84"/>
    </row>
    <row r="794">
      <c r="A794" s="83"/>
      <c r="B794" s="83"/>
      <c r="C794" s="83"/>
      <c r="F794" s="78"/>
      <c r="G794" s="78"/>
      <c r="H794" s="78"/>
      <c r="I794" s="78"/>
      <c r="J794" s="78"/>
      <c r="O794" s="83"/>
      <c r="P794" s="84"/>
    </row>
    <row r="795">
      <c r="A795" s="83"/>
      <c r="B795" s="83"/>
      <c r="C795" s="83"/>
      <c r="F795" s="78"/>
      <c r="G795" s="78"/>
      <c r="H795" s="78"/>
      <c r="I795" s="78"/>
      <c r="J795" s="78"/>
      <c r="O795" s="83"/>
      <c r="P795" s="84"/>
    </row>
    <row r="796">
      <c r="A796" s="83"/>
      <c r="B796" s="83"/>
      <c r="C796" s="83"/>
      <c r="F796" s="78"/>
      <c r="G796" s="78"/>
      <c r="H796" s="78"/>
      <c r="I796" s="78"/>
      <c r="J796" s="78"/>
      <c r="O796" s="83"/>
      <c r="P796" s="84"/>
    </row>
    <row r="797">
      <c r="A797" s="83"/>
      <c r="B797" s="83"/>
      <c r="C797" s="83"/>
      <c r="F797" s="78"/>
      <c r="G797" s="78"/>
      <c r="H797" s="78"/>
      <c r="I797" s="78"/>
      <c r="J797" s="78"/>
      <c r="O797" s="83"/>
      <c r="P797" s="84"/>
    </row>
    <row r="798">
      <c r="A798" s="83"/>
      <c r="B798" s="83"/>
      <c r="C798" s="83"/>
      <c r="F798" s="78"/>
      <c r="G798" s="78"/>
      <c r="H798" s="78"/>
      <c r="I798" s="78"/>
      <c r="J798" s="78"/>
      <c r="O798" s="83"/>
      <c r="P798" s="84"/>
    </row>
    <row r="799">
      <c r="A799" s="83"/>
      <c r="B799" s="83"/>
      <c r="C799" s="83"/>
      <c r="F799" s="78"/>
      <c r="G799" s="78"/>
      <c r="H799" s="78"/>
      <c r="I799" s="78"/>
      <c r="J799" s="78"/>
      <c r="O799" s="83"/>
      <c r="P799" s="84"/>
    </row>
    <row r="800">
      <c r="A800" s="83"/>
      <c r="B800" s="83"/>
      <c r="C800" s="83"/>
      <c r="F800" s="78"/>
      <c r="G800" s="78"/>
      <c r="H800" s="78"/>
      <c r="I800" s="78"/>
      <c r="J800" s="78"/>
      <c r="O800" s="83"/>
      <c r="P800" s="84"/>
    </row>
    <row r="801">
      <c r="A801" s="83"/>
      <c r="B801" s="83"/>
      <c r="C801" s="83"/>
      <c r="F801" s="78"/>
      <c r="G801" s="78"/>
      <c r="H801" s="78"/>
      <c r="I801" s="78"/>
      <c r="J801" s="78"/>
      <c r="O801" s="83"/>
      <c r="P801" s="84"/>
    </row>
    <row r="802">
      <c r="A802" s="83"/>
      <c r="B802" s="83"/>
      <c r="C802" s="83"/>
      <c r="F802" s="78"/>
      <c r="G802" s="78"/>
      <c r="H802" s="78"/>
      <c r="I802" s="78"/>
      <c r="J802" s="78"/>
      <c r="O802" s="83"/>
      <c r="P802" s="84"/>
    </row>
    <row r="803">
      <c r="A803" s="83"/>
      <c r="B803" s="83"/>
      <c r="C803" s="83"/>
      <c r="F803" s="78"/>
      <c r="G803" s="78"/>
      <c r="H803" s="78"/>
      <c r="I803" s="78"/>
      <c r="J803" s="78"/>
      <c r="O803" s="83"/>
      <c r="P803" s="84"/>
    </row>
    <row r="804">
      <c r="A804" s="83"/>
      <c r="B804" s="83"/>
      <c r="C804" s="83"/>
      <c r="F804" s="78"/>
      <c r="G804" s="78"/>
      <c r="H804" s="78"/>
      <c r="I804" s="78"/>
      <c r="J804" s="78"/>
      <c r="O804" s="83"/>
      <c r="P804" s="84"/>
    </row>
    <row r="805">
      <c r="A805" s="83"/>
      <c r="B805" s="83"/>
      <c r="C805" s="83"/>
      <c r="F805" s="78"/>
      <c r="G805" s="78"/>
      <c r="H805" s="78"/>
      <c r="I805" s="78"/>
      <c r="J805" s="78"/>
      <c r="O805" s="83"/>
      <c r="P805" s="84"/>
    </row>
    <row r="806">
      <c r="A806" s="83"/>
      <c r="B806" s="83"/>
      <c r="C806" s="83"/>
      <c r="F806" s="78"/>
      <c r="G806" s="78"/>
      <c r="H806" s="78"/>
      <c r="I806" s="78"/>
      <c r="J806" s="78"/>
      <c r="O806" s="83"/>
      <c r="P806" s="84"/>
    </row>
    <row r="807">
      <c r="A807" s="83"/>
      <c r="B807" s="83"/>
      <c r="C807" s="83"/>
      <c r="F807" s="78"/>
      <c r="G807" s="78"/>
      <c r="H807" s="78"/>
      <c r="I807" s="78"/>
      <c r="J807" s="78"/>
      <c r="O807" s="83"/>
      <c r="P807" s="84"/>
    </row>
    <row r="808">
      <c r="A808" s="83"/>
      <c r="B808" s="83"/>
      <c r="C808" s="83"/>
      <c r="F808" s="78"/>
      <c r="G808" s="78"/>
      <c r="H808" s="78"/>
      <c r="I808" s="78"/>
      <c r="J808" s="78"/>
      <c r="O808" s="83"/>
      <c r="P808" s="84"/>
    </row>
    <row r="809">
      <c r="A809" s="83"/>
      <c r="B809" s="83"/>
      <c r="C809" s="83"/>
      <c r="F809" s="78"/>
      <c r="G809" s="78"/>
      <c r="H809" s="78"/>
      <c r="I809" s="78"/>
      <c r="J809" s="78"/>
      <c r="O809" s="83"/>
      <c r="P809" s="84"/>
    </row>
    <row r="810">
      <c r="A810" s="83"/>
      <c r="B810" s="83"/>
      <c r="C810" s="83"/>
      <c r="F810" s="78"/>
      <c r="G810" s="78"/>
      <c r="H810" s="78"/>
      <c r="I810" s="78"/>
      <c r="J810" s="78"/>
      <c r="O810" s="83"/>
      <c r="P810" s="84"/>
    </row>
    <row r="811">
      <c r="A811" s="83"/>
      <c r="B811" s="83"/>
      <c r="C811" s="83"/>
      <c r="F811" s="78"/>
      <c r="G811" s="78"/>
      <c r="H811" s="78"/>
      <c r="I811" s="78"/>
      <c r="J811" s="78"/>
      <c r="O811" s="83"/>
      <c r="P811" s="84"/>
    </row>
    <row r="812">
      <c r="A812" s="83"/>
      <c r="B812" s="83"/>
      <c r="C812" s="83"/>
      <c r="F812" s="78"/>
      <c r="G812" s="78"/>
      <c r="H812" s="78"/>
      <c r="I812" s="78"/>
      <c r="J812" s="78"/>
      <c r="O812" s="83"/>
      <c r="P812" s="84"/>
    </row>
    <row r="813">
      <c r="A813" s="83"/>
      <c r="B813" s="83"/>
      <c r="C813" s="83"/>
      <c r="F813" s="78"/>
      <c r="G813" s="78"/>
      <c r="H813" s="78"/>
      <c r="I813" s="78"/>
      <c r="J813" s="78"/>
      <c r="O813" s="83"/>
      <c r="P813" s="84"/>
    </row>
    <row r="814">
      <c r="A814" s="83"/>
      <c r="B814" s="83"/>
      <c r="C814" s="83"/>
      <c r="F814" s="78"/>
      <c r="G814" s="78"/>
      <c r="H814" s="78"/>
      <c r="I814" s="78"/>
      <c r="J814" s="78"/>
      <c r="O814" s="83"/>
      <c r="P814" s="84"/>
    </row>
    <row r="815">
      <c r="A815" s="83"/>
      <c r="B815" s="83"/>
      <c r="C815" s="83"/>
      <c r="F815" s="78"/>
      <c r="G815" s="78"/>
      <c r="H815" s="78"/>
      <c r="I815" s="78"/>
      <c r="J815" s="78"/>
      <c r="O815" s="83"/>
      <c r="P815" s="84"/>
    </row>
    <row r="816">
      <c r="A816" s="83"/>
      <c r="B816" s="83"/>
      <c r="C816" s="83"/>
      <c r="F816" s="78"/>
      <c r="G816" s="78"/>
      <c r="H816" s="78"/>
      <c r="I816" s="78"/>
      <c r="J816" s="78"/>
      <c r="O816" s="83"/>
      <c r="P816" s="84"/>
    </row>
    <row r="817">
      <c r="A817" s="83"/>
      <c r="B817" s="83"/>
      <c r="C817" s="83"/>
      <c r="F817" s="78"/>
      <c r="G817" s="78"/>
      <c r="H817" s="78"/>
      <c r="I817" s="78"/>
      <c r="J817" s="78"/>
      <c r="O817" s="83"/>
      <c r="P817" s="84"/>
    </row>
    <row r="818">
      <c r="A818" s="83"/>
      <c r="B818" s="83"/>
      <c r="C818" s="83"/>
      <c r="F818" s="78"/>
      <c r="G818" s="78"/>
      <c r="H818" s="78"/>
      <c r="I818" s="78"/>
      <c r="J818" s="78"/>
      <c r="O818" s="83"/>
      <c r="P818" s="84"/>
    </row>
    <row r="819">
      <c r="A819" s="83"/>
      <c r="B819" s="83"/>
      <c r="C819" s="83"/>
      <c r="F819" s="78"/>
      <c r="G819" s="78"/>
      <c r="H819" s="78"/>
      <c r="I819" s="78"/>
      <c r="J819" s="78"/>
      <c r="O819" s="83"/>
      <c r="P819" s="84"/>
    </row>
    <row r="820">
      <c r="A820" s="83"/>
      <c r="B820" s="83"/>
      <c r="C820" s="83"/>
      <c r="F820" s="78"/>
      <c r="G820" s="78"/>
      <c r="H820" s="78"/>
      <c r="I820" s="78"/>
      <c r="J820" s="78"/>
      <c r="O820" s="83"/>
      <c r="P820" s="84"/>
    </row>
    <row r="821">
      <c r="A821" s="83"/>
      <c r="B821" s="83"/>
      <c r="C821" s="83"/>
      <c r="F821" s="78"/>
      <c r="G821" s="78"/>
      <c r="H821" s="78"/>
      <c r="I821" s="78"/>
      <c r="J821" s="78"/>
      <c r="O821" s="83"/>
      <c r="P821" s="84"/>
    </row>
    <row r="822">
      <c r="A822" s="83"/>
      <c r="B822" s="83"/>
      <c r="C822" s="83"/>
      <c r="F822" s="78"/>
      <c r="G822" s="78"/>
      <c r="H822" s="78"/>
      <c r="I822" s="78"/>
      <c r="J822" s="78"/>
      <c r="O822" s="83"/>
      <c r="P822" s="84"/>
    </row>
    <row r="823">
      <c r="A823" s="83"/>
      <c r="B823" s="83"/>
      <c r="C823" s="83"/>
      <c r="F823" s="78"/>
      <c r="G823" s="78"/>
      <c r="H823" s="78"/>
      <c r="I823" s="78"/>
      <c r="J823" s="78"/>
      <c r="O823" s="83"/>
      <c r="P823" s="84"/>
    </row>
    <row r="824">
      <c r="A824" s="83"/>
      <c r="B824" s="83"/>
      <c r="C824" s="83"/>
      <c r="F824" s="78"/>
      <c r="G824" s="78"/>
      <c r="H824" s="78"/>
      <c r="I824" s="78"/>
      <c r="J824" s="78"/>
      <c r="O824" s="83"/>
      <c r="P824" s="84"/>
    </row>
    <row r="825">
      <c r="A825" s="83"/>
      <c r="B825" s="83"/>
      <c r="C825" s="83"/>
      <c r="F825" s="78"/>
      <c r="G825" s="78"/>
      <c r="H825" s="78"/>
      <c r="I825" s="78"/>
      <c r="J825" s="78"/>
      <c r="O825" s="83"/>
      <c r="P825" s="84"/>
    </row>
    <row r="826">
      <c r="A826" s="83"/>
      <c r="B826" s="83"/>
      <c r="C826" s="83"/>
      <c r="F826" s="78"/>
      <c r="G826" s="78"/>
      <c r="H826" s="78"/>
      <c r="I826" s="78"/>
      <c r="J826" s="78"/>
      <c r="O826" s="83"/>
      <c r="P826" s="84"/>
    </row>
    <row r="827">
      <c r="A827" s="83"/>
      <c r="B827" s="83"/>
      <c r="C827" s="83"/>
      <c r="F827" s="78"/>
      <c r="G827" s="78"/>
      <c r="H827" s="78"/>
      <c r="I827" s="78"/>
      <c r="J827" s="78"/>
      <c r="O827" s="83"/>
      <c r="P827" s="84"/>
    </row>
    <row r="828">
      <c r="A828" s="83"/>
      <c r="B828" s="83"/>
      <c r="C828" s="83"/>
      <c r="F828" s="78"/>
      <c r="G828" s="78"/>
      <c r="H828" s="78"/>
      <c r="I828" s="78"/>
      <c r="J828" s="78"/>
      <c r="O828" s="83"/>
      <c r="P828" s="84"/>
    </row>
    <row r="829">
      <c r="A829" s="83"/>
      <c r="B829" s="83"/>
      <c r="C829" s="83"/>
      <c r="F829" s="78"/>
      <c r="G829" s="78"/>
      <c r="H829" s="78"/>
      <c r="I829" s="78"/>
      <c r="J829" s="78"/>
      <c r="O829" s="83"/>
      <c r="P829" s="84"/>
    </row>
    <row r="830">
      <c r="A830" s="83"/>
      <c r="B830" s="83"/>
      <c r="C830" s="83"/>
      <c r="F830" s="78"/>
      <c r="G830" s="78"/>
      <c r="H830" s="78"/>
      <c r="I830" s="78"/>
      <c r="J830" s="78"/>
      <c r="O830" s="83"/>
      <c r="P830" s="84"/>
    </row>
    <row r="831">
      <c r="A831" s="83"/>
      <c r="B831" s="83"/>
      <c r="C831" s="83"/>
      <c r="F831" s="78"/>
      <c r="G831" s="78"/>
      <c r="H831" s="78"/>
      <c r="I831" s="78"/>
      <c r="J831" s="78"/>
      <c r="O831" s="83"/>
      <c r="P831" s="84"/>
    </row>
    <row r="832">
      <c r="A832" s="83"/>
      <c r="B832" s="83"/>
      <c r="C832" s="83"/>
      <c r="F832" s="78"/>
      <c r="G832" s="78"/>
      <c r="H832" s="78"/>
      <c r="I832" s="78"/>
      <c r="J832" s="78"/>
      <c r="O832" s="83"/>
      <c r="P832" s="84"/>
    </row>
    <row r="833">
      <c r="A833" s="83"/>
      <c r="B833" s="83"/>
      <c r="C833" s="83"/>
      <c r="F833" s="78"/>
      <c r="G833" s="78"/>
      <c r="H833" s="78"/>
      <c r="I833" s="78"/>
      <c r="J833" s="78"/>
      <c r="O833" s="83"/>
      <c r="P833" s="84"/>
    </row>
    <row r="834">
      <c r="A834" s="83"/>
      <c r="B834" s="83"/>
      <c r="C834" s="83"/>
      <c r="F834" s="78"/>
      <c r="G834" s="78"/>
      <c r="H834" s="78"/>
      <c r="I834" s="78"/>
      <c r="J834" s="78"/>
      <c r="O834" s="83"/>
      <c r="P834" s="84"/>
    </row>
    <row r="835">
      <c r="A835" s="83"/>
      <c r="B835" s="83"/>
      <c r="C835" s="83"/>
      <c r="F835" s="78"/>
      <c r="G835" s="78"/>
      <c r="H835" s="78"/>
      <c r="I835" s="78"/>
      <c r="J835" s="78"/>
      <c r="O835" s="83"/>
      <c r="P835" s="84"/>
    </row>
    <row r="836">
      <c r="A836" s="83"/>
      <c r="B836" s="83"/>
      <c r="C836" s="83"/>
      <c r="F836" s="78"/>
      <c r="G836" s="78"/>
      <c r="H836" s="78"/>
      <c r="I836" s="78"/>
      <c r="J836" s="78"/>
      <c r="O836" s="83"/>
      <c r="P836" s="84"/>
    </row>
    <row r="837">
      <c r="A837" s="83"/>
      <c r="B837" s="83"/>
      <c r="C837" s="83"/>
      <c r="F837" s="78"/>
      <c r="G837" s="78"/>
      <c r="H837" s="78"/>
      <c r="I837" s="78"/>
      <c r="J837" s="78"/>
      <c r="O837" s="83"/>
      <c r="P837" s="84"/>
    </row>
    <row r="838">
      <c r="A838" s="83"/>
      <c r="B838" s="83"/>
      <c r="C838" s="83"/>
      <c r="F838" s="78"/>
      <c r="G838" s="78"/>
      <c r="H838" s="78"/>
      <c r="I838" s="78"/>
      <c r="J838" s="78"/>
      <c r="O838" s="83"/>
      <c r="P838" s="84"/>
    </row>
    <row r="839">
      <c r="A839" s="83"/>
      <c r="B839" s="83"/>
      <c r="C839" s="83"/>
      <c r="F839" s="78"/>
      <c r="G839" s="78"/>
      <c r="H839" s="78"/>
      <c r="I839" s="78"/>
      <c r="J839" s="78"/>
      <c r="O839" s="83"/>
      <c r="P839" s="84"/>
    </row>
    <row r="840">
      <c r="A840" s="83"/>
      <c r="B840" s="83"/>
      <c r="C840" s="83"/>
      <c r="F840" s="78"/>
      <c r="G840" s="78"/>
      <c r="H840" s="78"/>
      <c r="I840" s="78"/>
      <c r="J840" s="78"/>
      <c r="O840" s="83"/>
      <c r="P840" s="84"/>
    </row>
    <row r="841">
      <c r="A841" s="83"/>
      <c r="B841" s="83"/>
      <c r="C841" s="83"/>
      <c r="F841" s="78"/>
      <c r="G841" s="78"/>
      <c r="H841" s="78"/>
      <c r="I841" s="78"/>
      <c r="J841" s="78"/>
      <c r="O841" s="83"/>
      <c r="P841" s="84"/>
    </row>
    <row r="842">
      <c r="A842" s="83"/>
      <c r="B842" s="83"/>
      <c r="C842" s="83"/>
      <c r="F842" s="78"/>
      <c r="G842" s="78"/>
      <c r="H842" s="78"/>
      <c r="I842" s="78"/>
      <c r="J842" s="78"/>
      <c r="O842" s="83"/>
      <c r="P842" s="84"/>
    </row>
    <row r="843">
      <c r="A843" s="83"/>
      <c r="B843" s="83"/>
      <c r="C843" s="83"/>
      <c r="F843" s="78"/>
      <c r="G843" s="78"/>
      <c r="H843" s="78"/>
      <c r="I843" s="78"/>
      <c r="J843" s="78"/>
      <c r="O843" s="83"/>
      <c r="P843" s="84"/>
    </row>
    <row r="844">
      <c r="A844" s="83"/>
      <c r="B844" s="83"/>
      <c r="C844" s="83"/>
      <c r="F844" s="78"/>
      <c r="G844" s="78"/>
      <c r="H844" s="78"/>
      <c r="I844" s="78"/>
      <c r="J844" s="78"/>
      <c r="O844" s="83"/>
      <c r="P844" s="84"/>
    </row>
    <row r="845">
      <c r="A845" s="83"/>
      <c r="B845" s="83"/>
      <c r="C845" s="83"/>
      <c r="F845" s="78"/>
      <c r="G845" s="78"/>
      <c r="H845" s="78"/>
      <c r="I845" s="78"/>
      <c r="J845" s="78"/>
      <c r="O845" s="83"/>
      <c r="P845" s="84"/>
    </row>
    <row r="846">
      <c r="A846" s="83"/>
      <c r="B846" s="83"/>
      <c r="C846" s="83"/>
      <c r="F846" s="78"/>
      <c r="G846" s="78"/>
      <c r="H846" s="78"/>
      <c r="I846" s="78"/>
      <c r="J846" s="78"/>
      <c r="O846" s="83"/>
      <c r="P846" s="84"/>
    </row>
    <row r="847">
      <c r="A847" s="83"/>
      <c r="B847" s="83"/>
      <c r="C847" s="83"/>
      <c r="F847" s="78"/>
      <c r="G847" s="78"/>
      <c r="H847" s="78"/>
      <c r="I847" s="78"/>
      <c r="J847" s="78"/>
      <c r="O847" s="83"/>
      <c r="P847" s="84"/>
    </row>
    <row r="848">
      <c r="A848" s="83"/>
      <c r="B848" s="83"/>
      <c r="C848" s="83"/>
      <c r="F848" s="78"/>
      <c r="G848" s="78"/>
      <c r="H848" s="78"/>
      <c r="I848" s="78"/>
      <c r="J848" s="78"/>
      <c r="O848" s="83"/>
      <c r="P848" s="84"/>
    </row>
    <row r="849">
      <c r="A849" s="83"/>
      <c r="B849" s="83"/>
      <c r="C849" s="83"/>
      <c r="F849" s="78"/>
      <c r="G849" s="78"/>
      <c r="H849" s="78"/>
      <c r="I849" s="78"/>
      <c r="J849" s="78"/>
      <c r="O849" s="83"/>
      <c r="P849" s="84"/>
    </row>
    <row r="850">
      <c r="A850" s="83"/>
      <c r="B850" s="83"/>
      <c r="C850" s="83"/>
      <c r="F850" s="78"/>
      <c r="G850" s="78"/>
      <c r="H850" s="78"/>
      <c r="I850" s="78"/>
      <c r="J850" s="78"/>
      <c r="O850" s="83"/>
      <c r="P850" s="84"/>
    </row>
    <row r="851">
      <c r="A851" s="83"/>
      <c r="B851" s="83"/>
      <c r="C851" s="83"/>
      <c r="F851" s="78"/>
      <c r="G851" s="78"/>
      <c r="H851" s="78"/>
      <c r="I851" s="78"/>
      <c r="J851" s="78"/>
      <c r="O851" s="83"/>
      <c r="P851" s="84"/>
    </row>
    <row r="852">
      <c r="A852" s="83"/>
      <c r="B852" s="83"/>
      <c r="C852" s="83"/>
      <c r="F852" s="78"/>
      <c r="G852" s="78"/>
      <c r="H852" s="78"/>
      <c r="I852" s="78"/>
      <c r="J852" s="78"/>
      <c r="O852" s="83"/>
      <c r="P852" s="84"/>
    </row>
    <row r="853">
      <c r="A853" s="83"/>
      <c r="B853" s="83"/>
      <c r="C853" s="83"/>
      <c r="F853" s="78"/>
      <c r="G853" s="78"/>
      <c r="H853" s="78"/>
      <c r="I853" s="78"/>
      <c r="J853" s="78"/>
      <c r="O853" s="83"/>
      <c r="P853" s="84"/>
    </row>
    <row r="854">
      <c r="A854" s="83"/>
      <c r="B854" s="83"/>
      <c r="C854" s="83"/>
      <c r="F854" s="78"/>
      <c r="G854" s="78"/>
      <c r="H854" s="78"/>
      <c r="I854" s="78"/>
      <c r="J854" s="78"/>
      <c r="O854" s="83"/>
      <c r="P854" s="84"/>
    </row>
    <row r="855">
      <c r="A855" s="83"/>
      <c r="B855" s="83"/>
      <c r="C855" s="83"/>
      <c r="F855" s="78"/>
      <c r="G855" s="78"/>
      <c r="H855" s="78"/>
      <c r="I855" s="78"/>
      <c r="J855" s="78"/>
      <c r="O855" s="83"/>
      <c r="P855" s="84"/>
    </row>
    <row r="856">
      <c r="A856" s="83"/>
      <c r="B856" s="83"/>
      <c r="C856" s="83"/>
      <c r="F856" s="78"/>
      <c r="G856" s="78"/>
      <c r="H856" s="78"/>
      <c r="I856" s="78"/>
      <c r="J856" s="78"/>
      <c r="O856" s="83"/>
      <c r="P856" s="84"/>
    </row>
    <row r="857">
      <c r="A857" s="83"/>
      <c r="B857" s="83"/>
      <c r="C857" s="83"/>
      <c r="F857" s="78"/>
      <c r="G857" s="78"/>
      <c r="H857" s="78"/>
      <c r="I857" s="78"/>
      <c r="J857" s="78"/>
      <c r="O857" s="83"/>
      <c r="P857" s="84"/>
    </row>
    <row r="858">
      <c r="A858" s="83"/>
      <c r="B858" s="83"/>
      <c r="C858" s="83"/>
      <c r="F858" s="78"/>
      <c r="G858" s="78"/>
      <c r="H858" s="78"/>
      <c r="I858" s="78"/>
      <c r="J858" s="78"/>
      <c r="O858" s="83"/>
      <c r="P858" s="84"/>
    </row>
    <row r="859">
      <c r="A859" s="83"/>
      <c r="B859" s="83"/>
      <c r="C859" s="83"/>
      <c r="F859" s="78"/>
      <c r="G859" s="78"/>
      <c r="H859" s="78"/>
      <c r="I859" s="78"/>
      <c r="J859" s="78"/>
      <c r="O859" s="83"/>
      <c r="P859" s="84"/>
    </row>
    <row r="860">
      <c r="A860" s="83"/>
      <c r="B860" s="83"/>
      <c r="C860" s="83"/>
      <c r="F860" s="78"/>
      <c r="G860" s="78"/>
      <c r="H860" s="78"/>
      <c r="I860" s="78"/>
      <c r="J860" s="78"/>
      <c r="O860" s="83"/>
      <c r="P860" s="84"/>
    </row>
    <row r="861">
      <c r="A861" s="83"/>
      <c r="B861" s="83"/>
      <c r="C861" s="83"/>
      <c r="F861" s="78"/>
      <c r="G861" s="78"/>
      <c r="H861" s="78"/>
      <c r="I861" s="78"/>
      <c r="J861" s="78"/>
      <c r="O861" s="83"/>
      <c r="P861" s="84"/>
    </row>
    <row r="862">
      <c r="A862" s="83"/>
      <c r="B862" s="83"/>
      <c r="C862" s="83"/>
      <c r="F862" s="78"/>
      <c r="G862" s="78"/>
      <c r="H862" s="78"/>
      <c r="I862" s="78"/>
      <c r="J862" s="78"/>
      <c r="O862" s="83"/>
      <c r="P862" s="84"/>
    </row>
    <row r="863">
      <c r="A863" s="83"/>
      <c r="B863" s="83"/>
      <c r="C863" s="83"/>
      <c r="F863" s="78"/>
      <c r="G863" s="78"/>
      <c r="H863" s="78"/>
      <c r="I863" s="78"/>
      <c r="J863" s="78"/>
      <c r="O863" s="83"/>
      <c r="P863" s="84"/>
    </row>
    <row r="864">
      <c r="A864" s="83"/>
      <c r="B864" s="83"/>
      <c r="C864" s="83"/>
      <c r="F864" s="78"/>
      <c r="G864" s="78"/>
      <c r="H864" s="78"/>
      <c r="I864" s="78"/>
      <c r="J864" s="78"/>
      <c r="O864" s="83"/>
      <c r="P864" s="84"/>
    </row>
    <row r="865">
      <c r="A865" s="83"/>
      <c r="B865" s="83"/>
      <c r="C865" s="83"/>
      <c r="F865" s="78"/>
      <c r="G865" s="78"/>
      <c r="H865" s="78"/>
      <c r="I865" s="78"/>
      <c r="J865" s="78"/>
      <c r="O865" s="83"/>
      <c r="P865" s="84"/>
    </row>
    <row r="866">
      <c r="A866" s="83"/>
      <c r="B866" s="83"/>
      <c r="C866" s="83"/>
      <c r="F866" s="78"/>
      <c r="G866" s="78"/>
      <c r="H866" s="78"/>
      <c r="I866" s="78"/>
      <c r="J866" s="78"/>
      <c r="O866" s="83"/>
      <c r="P866" s="84"/>
    </row>
    <row r="867">
      <c r="A867" s="83"/>
      <c r="B867" s="83"/>
      <c r="C867" s="83"/>
      <c r="F867" s="78"/>
      <c r="G867" s="78"/>
      <c r="H867" s="78"/>
      <c r="I867" s="78"/>
      <c r="J867" s="78"/>
      <c r="O867" s="83"/>
      <c r="P867" s="84"/>
    </row>
    <row r="868">
      <c r="A868" s="83"/>
      <c r="B868" s="83"/>
      <c r="C868" s="83"/>
      <c r="F868" s="78"/>
      <c r="G868" s="78"/>
      <c r="H868" s="78"/>
      <c r="I868" s="78"/>
      <c r="J868" s="78"/>
      <c r="O868" s="83"/>
      <c r="P868" s="84"/>
    </row>
    <row r="869">
      <c r="A869" s="83"/>
      <c r="B869" s="83"/>
      <c r="C869" s="83"/>
      <c r="F869" s="78"/>
      <c r="G869" s="78"/>
      <c r="H869" s="78"/>
      <c r="I869" s="78"/>
      <c r="J869" s="78"/>
      <c r="O869" s="83"/>
      <c r="P869" s="84"/>
    </row>
    <row r="870">
      <c r="A870" s="83"/>
      <c r="B870" s="83"/>
      <c r="C870" s="83"/>
      <c r="F870" s="78"/>
      <c r="G870" s="78"/>
      <c r="H870" s="78"/>
      <c r="I870" s="78"/>
      <c r="J870" s="78"/>
      <c r="O870" s="83"/>
      <c r="P870" s="84"/>
    </row>
    <row r="871">
      <c r="A871" s="83"/>
      <c r="B871" s="83"/>
      <c r="C871" s="83"/>
      <c r="F871" s="78"/>
      <c r="G871" s="78"/>
      <c r="H871" s="78"/>
      <c r="I871" s="78"/>
      <c r="J871" s="78"/>
      <c r="O871" s="83"/>
      <c r="P871" s="84"/>
    </row>
    <row r="872">
      <c r="A872" s="83"/>
      <c r="B872" s="83"/>
      <c r="C872" s="83"/>
      <c r="F872" s="78"/>
      <c r="G872" s="78"/>
      <c r="H872" s="78"/>
      <c r="I872" s="78"/>
      <c r="J872" s="78"/>
      <c r="O872" s="83"/>
      <c r="P872" s="84"/>
    </row>
    <row r="873">
      <c r="A873" s="83"/>
      <c r="B873" s="83"/>
      <c r="C873" s="83"/>
      <c r="F873" s="78"/>
      <c r="G873" s="78"/>
      <c r="H873" s="78"/>
      <c r="I873" s="78"/>
      <c r="J873" s="78"/>
      <c r="O873" s="83"/>
      <c r="P873" s="84"/>
    </row>
    <row r="874">
      <c r="A874" s="83"/>
      <c r="B874" s="83"/>
      <c r="C874" s="83"/>
      <c r="F874" s="78"/>
      <c r="G874" s="78"/>
      <c r="H874" s="78"/>
      <c r="I874" s="78"/>
      <c r="J874" s="78"/>
      <c r="O874" s="83"/>
      <c r="P874" s="84"/>
    </row>
    <row r="875">
      <c r="A875" s="83"/>
      <c r="B875" s="83"/>
      <c r="C875" s="83"/>
      <c r="F875" s="78"/>
      <c r="G875" s="78"/>
      <c r="H875" s="78"/>
      <c r="I875" s="78"/>
      <c r="J875" s="78"/>
      <c r="O875" s="83"/>
      <c r="P875" s="84"/>
    </row>
    <row r="876">
      <c r="A876" s="83"/>
      <c r="B876" s="83"/>
      <c r="C876" s="83"/>
      <c r="F876" s="78"/>
      <c r="G876" s="78"/>
      <c r="H876" s="78"/>
      <c r="I876" s="78"/>
      <c r="J876" s="78"/>
      <c r="O876" s="83"/>
      <c r="P876" s="84"/>
    </row>
    <row r="877">
      <c r="A877" s="83"/>
      <c r="B877" s="83"/>
      <c r="C877" s="83"/>
      <c r="F877" s="78"/>
      <c r="G877" s="78"/>
      <c r="H877" s="78"/>
      <c r="I877" s="78"/>
      <c r="J877" s="78"/>
      <c r="O877" s="83"/>
      <c r="P877" s="84"/>
    </row>
    <row r="878">
      <c r="A878" s="83"/>
      <c r="B878" s="83"/>
      <c r="C878" s="83"/>
      <c r="F878" s="78"/>
      <c r="G878" s="78"/>
      <c r="H878" s="78"/>
      <c r="I878" s="78"/>
      <c r="J878" s="78"/>
      <c r="O878" s="83"/>
      <c r="P878" s="84"/>
    </row>
    <row r="879">
      <c r="A879" s="83"/>
      <c r="B879" s="83"/>
      <c r="C879" s="83"/>
      <c r="F879" s="78"/>
      <c r="G879" s="78"/>
      <c r="H879" s="78"/>
      <c r="I879" s="78"/>
      <c r="J879" s="78"/>
      <c r="O879" s="83"/>
      <c r="P879" s="84"/>
    </row>
    <row r="880">
      <c r="A880" s="83"/>
      <c r="B880" s="83"/>
      <c r="C880" s="83"/>
      <c r="F880" s="78"/>
      <c r="G880" s="78"/>
      <c r="H880" s="78"/>
      <c r="I880" s="78"/>
      <c r="J880" s="78"/>
      <c r="O880" s="83"/>
      <c r="P880" s="84"/>
    </row>
    <row r="881">
      <c r="A881" s="83"/>
      <c r="B881" s="83"/>
      <c r="C881" s="83"/>
      <c r="F881" s="78"/>
      <c r="G881" s="78"/>
      <c r="H881" s="78"/>
      <c r="I881" s="78"/>
      <c r="J881" s="78"/>
      <c r="O881" s="83"/>
      <c r="P881" s="84"/>
    </row>
    <row r="882">
      <c r="A882" s="83"/>
      <c r="B882" s="83"/>
      <c r="C882" s="83"/>
      <c r="F882" s="78"/>
      <c r="G882" s="78"/>
      <c r="H882" s="78"/>
      <c r="I882" s="78"/>
      <c r="J882" s="78"/>
      <c r="O882" s="83"/>
      <c r="P882" s="84"/>
    </row>
    <row r="883">
      <c r="A883" s="83"/>
      <c r="B883" s="83"/>
      <c r="C883" s="83"/>
      <c r="F883" s="78"/>
      <c r="G883" s="78"/>
      <c r="H883" s="78"/>
      <c r="I883" s="78"/>
      <c r="J883" s="78"/>
      <c r="O883" s="83"/>
      <c r="P883" s="84"/>
    </row>
    <row r="884">
      <c r="A884" s="83"/>
      <c r="B884" s="83"/>
      <c r="C884" s="83"/>
      <c r="F884" s="78"/>
      <c r="G884" s="78"/>
      <c r="H884" s="78"/>
      <c r="I884" s="78"/>
      <c r="J884" s="78"/>
      <c r="O884" s="83"/>
      <c r="P884" s="84"/>
    </row>
    <row r="885">
      <c r="A885" s="83"/>
      <c r="B885" s="83"/>
      <c r="C885" s="83"/>
      <c r="F885" s="78"/>
      <c r="G885" s="78"/>
      <c r="H885" s="78"/>
      <c r="I885" s="78"/>
      <c r="J885" s="78"/>
      <c r="O885" s="83"/>
      <c r="P885" s="84"/>
    </row>
    <row r="886">
      <c r="A886" s="83"/>
      <c r="B886" s="83"/>
      <c r="C886" s="83"/>
      <c r="F886" s="78"/>
      <c r="G886" s="78"/>
      <c r="H886" s="78"/>
      <c r="I886" s="78"/>
      <c r="J886" s="78"/>
      <c r="O886" s="83"/>
      <c r="P886" s="84"/>
    </row>
    <row r="887">
      <c r="A887" s="83"/>
      <c r="B887" s="83"/>
      <c r="C887" s="83"/>
      <c r="F887" s="78"/>
      <c r="G887" s="78"/>
      <c r="H887" s="78"/>
      <c r="I887" s="78"/>
      <c r="J887" s="78"/>
      <c r="O887" s="83"/>
      <c r="P887" s="84"/>
    </row>
    <row r="888">
      <c r="A888" s="83"/>
      <c r="B888" s="83"/>
      <c r="C888" s="83"/>
      <c r="F888" s="78"/>
      <c r="G888" s="78"/>
      <c r="H888" s="78"/>
      <c r="I888" s="78"/>
      <c r="J888" s="78"/>
      <c r="O888" s="83"/>
      <c r="P888" s="84"/>
    </row>
    <row r="889">
      <c r="A889" s="83"/>
      <c r="B889" s="83"/>
      <c r="C889" s="83"/>
      <c r="F889" s="78"/>
      <c r="G889" s="78"/>
      <c r="H889" s="78"/>
      <c r="I889" s="78"/>
      <c r="J889" s="78"/>
      <c r="O889" s="83"/>
      <c r="P889" s="84"/>
    </row>
    <row r="890">
      <c r="A890" s="83"/>
      <c r="B890" s="83"/>
      <c r="C890" s="83"/>
      <c r="F890" s="78"/>
      <c r="G890" s="78"/>
      <c r="H890" s="78"/>
      <c r="I890" s="78"/>
      <c r="J890" s="78"/>
      <c r="O890" s="83"/>
      <c r="P890" s="84"/>
    </row>
    <row r="891">
      <c r="A891" s="83"/>
      <c r="B891" s="83"/>
      <c r="C891" s="83"/>
      <c r="F891" s="78"/>
      <c r="G891" s="78"/>
      <c r="H891" s="78"/>
      <c r="I891" s="78"/>
      <c r="J891" s="78"/>
      <c r="O891" s="83"/>
      <c r="P891" s="84"/>
    </row>
    <row r="892">
      <c r="A892" s="83"/>
      <c r="B892" s="83"/>
      <c r="C892" s="83"/>
      <c r="F892" s="78"/>
      <c r="G892" s="78"/>
      <c r="H892" s="78"/>
      <c r="I892" s="78"/>
      <c r="J892" s="78"/>
      <c r="O892" s="83"/>
      <c r="P892" s="84"/>
    </row>
    <row r="893">
      <c r="A893" s="83"/>
      <c r="B893" s="83"/>
      <c r="C893" s="83"/>
      <c r="F893" s="78"/>
      <c r="G893" s="78"/>
      <c r="H893" s="78"/>
      <c r="I893" s="78"/>
      <c r="J893" s="78"/>
      <c r="O893" s="83"/>
      <c r="P893" s="84"/>
    </row>
    <row r="894">
      <c r="A894" s="83"/>
      <c r="B894" s="83"/>
      <c r="C894" s="83"/>
      <c r="F894" s="78"/>
      <c r="G894" s="78"/>
      <c r="H894" s="78"/>
      <c r="I894" s="78"/>
      <c r="J894" s="78"/>
      <c r="O894" s="83"/>
      <c r="P894" s="84"/>
    </row>
    <row r="895">
      <c r="A895" s="83"/>
      <c r="B895" s="83"/>
      <c r="C895" s="83"/>
      <c r="F895" s="78"/>
      <c r="G895" s="78"/>
      <c r="H895" s="78"/>
      <c r="I895" s="78"/>
      <c r="J895" s="78"/>
      <c r="O895" s="83"/>
      <c r="P895" s="84"/>
    </row>
    <row r="896">
      <c r="A896" s="83"/>
      <c r="B896" s="83"/>
      <c r="C896" s="83"/>
      <c r="F896" s="78"/>
      <c r="G896" s="78"/>
      <c r="H896" s="78"/>
      <c r="I896" s="78"/>
      <c r="J896" s="78"/>
      <c r="O896" s="83"/>
      <c r="P896" s="84"/>
    </row>
    <row r="897">
      <c r="A897" s="83"/>
      <c r="B897" s="83"/>
      <c r="C897" s="83"/>
      <c r="F897" s="78"/>
      <c r="G897" s="78"/>
      <c r="H897" s="78"/>
      <c r="I897" s="78"/>
      <c r="J897" s="78"/>
      <c r="O897" s="83"/>
      <c r="P897" s="84"/>
    </row>
    <row r="898">
      <c r="A898" s="83"/>
      <c r="B898" s="83"/>
      <c r="C898" s="83"/>
      <c r="F898" s="78"/>
      <c r="G898" s="78"/>
      <c r="H898" s="78"/>
      <c r="I898" s="78"/>
      <c r="J898" s="78"/>
      <c r="O898" s="83"/>
      <c r="P898" s="84"/>
    </row>
    <row r="899">
      <c r="A899" s="83"/>
      <c r="B899" s="83"/>
      <c r="C899" s="83"/>
      <c r="F899" s="78"/>
      <c r="G899" s="78"/>
      <c r="H899" s="78"/>
      <c r="I899" s="78"/>
      <c r="J899" s="78"/>
      <c r="O899" s="83"/>
      <c r="P899" s="84"/>
    </row>
    <row r="900">
      <c r="A900" s="83"/>
      <c r="B900" s="83"/>
      <c r="C900" s="83"/>
      <c r="F900" s="78"/>
      <c r="G900" s="78"/>
      <c r="H900" s="78"/>
      <c r="I900" s="78"/>
      <c r="J900" s="78"/>
      <c r="O900" s="83"/>
      <c r="P900" s="84"/>
    </row>
    <row r="901">
      <c r="A901" s="83"/>
      <c r="B901" s="83"/>
      <c r="C901" s="83"/>
      <c r="F901" s="78"/>
      <c r="G901" s="78"/>
      <c r="H901" s="78"/>
      <c r="I901" s="78"/>
      <c r="J901" s="78"/>
      <c r="O901" s="83"/>
      <c r="P901" s="84"/>
    </row>
    <row r="902">
      <c r="A902" s="83"/>
      <c r="B902" s="83"/>
      <c r="C902" s="83"/>
      <c r="F902" s="78"/>
      <c r="G902" s="78"/>
      <c r="H902" s="78"/>
      <c r="I902" s="78"/>
      <c r="J902" s="78"/>
      <c r="O902" s="83"/>
      <c r="P902" s="84"/>
    </row>
    <row r="903">
      <c r="A903" s="83"/>
      <c r="B903" s="83"/>
      <c r="C903" s="83"/>
      <c r="F903" s="78"/>
      <c r="G903" s="78"/>
      <c r="H903" s="78"/>
      <c r="I903" s="78"/>
      <c r="J903" s="78"/>
      <c r="O903" s="83"/>
      <c r="P903" s="84"/>
    </row>
    <row r="904">
      <c r="A904" s="83"/>
      <c r="B904" s="83"/>
      <c r="C904" s="83"/>
      <c r="F904" s="78"/>
      <c r="G904" s="78"/>
      <c r="H904" s="78"/>
      <c r="I904" s="78"/>
      <c r="J904" s="78"/>
      <c r="O904" s="83"/>
      <c r="P904" s="84"/>
    </row>
    <row r="905">
      <c r="A905" s="83"/>
      <c r="B905" s="83"/>
      <c r="C905" s="83"/>
      <c r="F905" s="78"/>
      <c r="G905" s="78"/>
      <c r="H905" s="78"/>
      <c r="I905" s="78"/>
      <c r="J905" s="78"/>
      <c r="O905" s="83"/>
      <c r="P905" s="84"/>
    </row>
    <row r="906">
      <c r="A906" s="83"/>
      <c r="B906" s="83"/>
      <c r="C906" s="83"/>
      <c r="F906" s="78"/>
      <c r="G906" s="78"/>
      <c r="H906" s="78"/>
      <c r="I906" s="78"/>
      <c r="J906" s="78"/>
      <c r="O906" s="83"/>
      <c r="P906" s="84"/>
    </row>
    <row r="907">
      <c r="A907" s="83"/>
      <c r="B907" s="83"/>
      <c r="C907" s="83"/>
      <c r="F907" s="78"/>
      <c r="G907" s="78"/>
      <c r="H907" s="78"/>
      <c r="I907" s="78"/>
      <c r="J907" s="78"/>
      <c r="O907" s="83"/>
      <c r="P907" s="84"/>
    </row>
    <row r="908">
      <c r="A908" s="83"/>
      <c r="B908" s="83"/>
      <c r="C908" s="83"/>
      <c r="F908" s="78"/>
      <c r="G908" s="78"/>
      <c r="H908" s="78"/>
      <c r="I908" s="78"/>
      <c r="J908" s="78"/>
      <c r="O908" s="83"/>
      <c r="P908" s="84"/>
    </row>
    <row r="909">
      <c r="A909" s="83"/>
      <c r="B909" s="83"/>
      <c r="C909" s="83"/>
      <c r="F909" s="78"/>
      <c r="G909" s="78"/>
      <c r="H909" s="78"/>
      <c r="I909" s="78"/>
      <c r="J909" s="78"/>
      <c r="O909" s="83"/>
      <c r="P909" s="84"/>
    </row>
    <row r="910">
      <c r="A910" s="83"/>
      <c r="B910" s="83"/>
      <c r="C910" s="83"/>
      <c r="F910" s="78"/>
      <c r="G910" s="78"/>
      <c r="H910" s="78"/>
      <c r="I910" s="78"/>
      <c r="J910" s="78"/>
      <c r="O910" s="83"/>
      <c r="P910" s="84"/>
    </row>
    <row r="911">
      <c r="A911" s="83"/>
      <c r="B911" s="83"/>
      <c r="C911" s="83"/>
      <c r="F911" s="78"/>
      <c r="G911" s="78"/>
      <c r="H911" s="78"/>
      <c r="I911" s="78"/>
      <c r="J911" s="78"/>
      <c r="O911" s="83"/>
      <c r="P911" s="84"/>
    </row>
    <row r="912">
      <c r="A912" s="83"/>
      <c r="B912" s="83"/>
      <c r="C912" s="83"/>
      <c r="F912" s="78"/>
      <c r="G912" s="78"/>
      <c r="H912" s="78"/>
      <c r="I912" s="78"/>
      <c r="J912" s="78"/>
      <c r="O912" s="83"/>
      <c r="P912" s="84"/>
    </row>
    <row r="913">
      <c r="A913" s="83"/>
      <c r="B913" s="83"/>
      <c r="C913" s="83"/>
      <c r="F913" s="78"/>
      <c r="G913" s="78"/>
      <c r="H913" s="78"/>
      <c r="I913" s="78"/>
      <c r="J913" s="78"/>
      <c r="O913" s="83"/>
      <c r="P913" s="84"/>
    </row>
    <row r="914">
      <c r="A914" s="83"/>
      <c r="B914" s="83"/>
      <c r="C914" s="83"/>
      <c r="F914" s="78"/>
      <c r="G914" s="78"/>
      <c r="H914" s="78"/>
      <c r="I914" s="78"/>
      <c r="J914" s="78"/>
      <c r="O914" s="83"/>
      <c r="P914" s="84"/>
    </row>
    <row r="915">
      <c r="A915" s="83"/>
      <c r="B915" s="83"/>
      <c r="C915" s="83"/>
      <c r="F915" s="78"/>
      <c r="G915" s="78"/>
      <c r="H915" s="78"/>
      <c r="I915" s="78"/>
      <c r="J915" s="78"/>
      <c r="O915" s="83"/>
      <c r="P915" s="84"/>
    </row>
    <row r="916">
      <c r="A916" s="83"/>
      <c r="B916" s="83"/>
      <c r="C916" s="83"/>
      <c r="F916" s="78"/>
      <c r="G916" s="78"/>
      <c r="H916" s="78"/>
      <c r="I916" s="78"/>
      <c r="J916" s="78"/>
      <c r="O916" s="83"/>
      <c r="P916" s="84"/>
    </row>
    <row r="917">
      <c r="A917" s="83"/>
      <c r="B917" s="83"/>
      <c r="C917" s="83"/>
      <c r="F917" s="78"/>
      <c r="G917" s="78"/>
      <c r="H917" s="78"/>
      <c r="I917" s="78"/>
      <c r="J917" s="78"/>
      <c r="O917" s="83"/>
      <c r="P917" s="84"/>
    </row>
    <row r="918">
      <c r="A918" s="83"/>
      <c r="B918" s="83"/>
      <c r="C918" s="83"/>
      <c r="F918" s="78"/>
      <c r="G918" s="78"/>
      <c r="H918" s="78"/>
      <c r="I918" s="78"/>
      <c r="J918" s="78"/>
      <c r="O918" s="83"/>
      <c r="P918" s="84"/>
    </row>
    <row r="919">
      <c r="A919" s="83"/>
      <c r="B919" s="83"/>
      <c r="C919" s="83"/>
      <c r="F919" s="78"/>
      <c r="G919" s="78"/>
      <c r="H919" s="78"/>
      <c r="I919" s="78"/>
      <c r="J919" s="78"/>
      <c r="O919" s="83"/>
      <c r="P919" s="84"/>
    </row>
    <row r="920">
      <c r="A920" s="83"/>
      <c r="B920" s="83"/>
      <c r="C920" s="83"/>
      <c r="F920" s="78"/>
      <c r="G920" s="78"/>
      <c r="H920" s="78"/>
      <c r="I920" s="78"/>
      <c r="J920" s="78"/>
      <c r="O920" s="83"/>
      <c r="P920" s="84"/>
    </row>
    <row r="921">
      <c r="A921" s="83"/>
      <c r="B921" s="83"/>
      <c r="C921" s="83"/>
      <c r="F921" s="78"/>
      <c r="G921" s="78"/>
      <c r="H921" s="78"/>
      <c r="I921" s="78"/>
      <c r="J921" s="78"/>
      <c r="O921" s="83"/>
      <c r="P921" s="84"/>
    </row>
    <row r="922">
      <c r="A922" s="83"/>
      <c r="B922" s="83"/>
      <c r="C922" s="83"/>
      <c r="F922" s="78"/>
      <c r="G922" s="78"/>
      <c r="H922" s="78"/>
      <c r="I922" s="78"/>
      <c r="J922" s="78"/>
      <c r="O922" s="83"/>
      <c r="P922" s="84"/>
    </row>
    <row r="923">
      <c r="A923" s="83"/>
      <c r="B923" s="83"/>
      <c r="C923" s="83"/>
      <c r="F923" s="78"/>
      <c r="G923" s="78"/>
      <c r="H923" s="78"/>
      <c r="I923" s="78"/>
      <c r="J923" s="78"/>
      <c r="O923" s="83"/>
      <c r="P923" s="84"/>
    </row>
    <row r="924">
      <c r="A924" s="83"/>
      <c r="B924" s="83"/>
      <c r="C924" s="83"/>
      <c r="F924" s="78"/>
      <c r="G924" s="78"/>
      <c r="H924" s="78"/>
      <c r="I924" s="78"/>
      <c r="J924" s="78"/>
      <c r="O924" s="83"/>
      <c r="P924" s="84"/>
    </row>
    <row r="925">
      <c r="A925" s="83"/>
      <c r="B925" s="83"/>
      <c r="C925" s="83"/>
      <c r="F925" s="78"/>
      <c r="G925" s="78"/>
      <c r="H925" s="78"/>
      <c r="I925" s="78"/>
      <c r="J925" s="78"/>
      <c r="O925" s="83"/>
      <c r="P925" s="84"/>
    </row>
    <row r="926">
      <c r="A926" s="83"/>
      <c r="B926" s="83"/>
      <c r="C926" s="83"/>
      <c r="F926" s="78"/>
      <c r="G926" s="78"/>
      <c r="H926" s="78"/>
      <c r="I926" s="78"/>
      <c r="J926" s="78"/>
      <c r="O926" s="83"/>
      <c r="P926" s="84"/>
    </row>
    <row r="927">
      <c r="A927" s="83"/>
      <c r="B927" s="83"/>
      <c r="C927" s="83"/>
      <c r="F927" s="78"/>
      <c r="G927" s="78"/>
      <c r="H927" s="78"/>
      <c r="I927" s="78"/>
      <c r="J927" s="78"/>
      <c r="O927" s="83"/>
      <c r="P927" s="84"/>
    </row>
    <row r="928">
      <c r="A928" s="83"/>
      <c r="B928" s="83"/>
      <c r="C928" s="83"/>
      <c r="F928" s="78"/>
      <c r="G928" s="78"/>
      <c r="H928" s="78"/>
      <c r="I928" s="78"/>
      <c r="J928" s="78"/>
      <c r="O928" s="83"/>
      <c r="P928" s="84"/>
    </row>
    <row r="929">
      <c r="A929" s="83"/>
      <c r="B929" s="83"/>
      <c r="C929" s="83"/>
      <c r="F929" s="78"/>
      <c r="G929" s="78"/>
      <c r="H929" s="78"/>
      <c r="I929" s="78"/>
      <c r="J929" s="78"/>
      <c r="O929" s="83"/>
      <c r="P929" s="84"/>
    </row>
    <row r="930">
      <c r="A930" s="83"/>
      <c r="B930" s="83"/>
      <c r="C930" s="83"/>
      <c r="F930" s="78"/>
      <c r="G930" s="78"/>
      <c r="H930" s="78"/>
      <c r="I930" s="78"/>
      <c r="J930" s="78"/>
      <c r="O930" s="83"/>
      <c r="P930" s="84"/>
    </row>
    <row r="931">
      <c r="A931" s="83"/>
      <c r="B931" s="83"/>
      <c r="C931" s="83"/>
      <c r="F931" s="78"/>
      <c r="G931" s="78"/>
      <c r="H931" s="78"/>
      <c r="I931" s="78"/>
      <c r="J931" s="78"/>
      <c r="O931" s="83"/>
      <c r="P931" s="84"/>
    </row>
    <row r="932">
      <c r="A932" s="83"/>
      <c r="B932" s="83"/>
      <c r="C932" s="83"/>
      <c r="F932" s="78"/>
      <c r="G932" s="78"/>
      <c r="H932" s="78"/>
      <c r="I932" s="78"/>
      <c r="J932" s="78"/>
      <c r="O932" s="83"/>
      <c r="P932" s="84"/>
    </row>
    <row r="933">
      <c r="A933" s="83"/>
      <c r="B933" s="83"/>
      <c r="C933" s="83"/>
      <c r="F933" s="78"/>
      <c r="G933" s="78"/>
      <c r="H933" s="78"/>
      <c r="I933" s="78"/>
      <c r="J933" s="78"/>
      <c r="O933" s="83"/>
      <c r="P933" s="84"/>
    </row>
    <row r="934">
      <c r="A934" s="83"/>
      <c r="B934" s="83"/>
      <c r="C934" s="83"/>
      <c r="F934" s="78"/>
      <c r="G934" s="78"/>
      <c r="H934" s="78"/>
      <c r="I934" s="78"/>
      <c r="J934" s="78"/>
      <c r="O934" s="83"/>
      <c r="P934" s="84"/>
    </row>
    <row r="935">
      <c r="A935" s="83"/>
      <c r="B935" s="83"/>
      <c r="C935" s="83"/>
      <c r="F935" s="78"/>
      <c r="G935" s="78"/>
      <c r="H935" s="78"/>
      <c r="I935" s="78"/>
      <c r="J935" s="78"/>
      <c r="O935" s="83"/>
      <c r="P935" s="84"/>
    </row>
    <row r="936">
      <c r="A936" s="83"/>
      <c r="B936" s="83"/>
      <c r="C936" s="83"/>
      <c r="F936" s="78"/>
      <c r="G936" s="78"/>
      <c r="H936" s="78"/>
      <c r="I936" s="78"/>
      <c r="J936" s="78"/>
      <c r="O936" s="83"/>
      <c r="P936" s="84"/>
    </row>
    <row r="937">
      <c r="A937" s="83"/>
      <c r="B937" s="83"/>
      <c r="C937" s="83"/>
      <c r="F937" s="78"/>
      <c r="G937" s="78"/>
      <c r="H937" s="78"/>
      <c r="I937" s="78"/>
      <c r="J937" s="78"/>
      <c r="O937" s="83"/>
      <c r="P937" s="84"/>
    </row>
    <row r="938">
      <c r="A938" s="83"/>
      <c r="B938" s="83"/>
      <c r="C938" s="83"/>
      <c r="F938" s="78"/>
      <c r="G938" s="78"/>
      <c r="H938" s="78"/>
      <c r="I938" s="78"/>
      <c r="J938" s="78"/>
      <c r="O938" s="83"/>
      <c r="P938" s="84"/>
    </row>
    <row r="939">
      <c r="A939" s="83"/>
      <c r="B939" s="83"/>
      <c r="C939" s="83"/>
      <c r="F939" s="78"/>
      <c r="G939" s="78"/>
      <c r="H939" s="78"/>
      <c r="I939" s="78"/>
      <c r="J939" s="78"/>
      <c r="O939" s="83"/>
      <c r="P939" s="84"/>
    </row>
    <row r="940">
      <c r="A940" s="83"/>
      <c r="B940" s="83"/>
      <c r="C940" s="83"/>
      <c r="F940" s="78"/>
      <c r="G940" s="78"/>
      <c r="H940" s="78"/>
      <c r="I940" s="78"/>
      <c r="J940" s="78"/>
      <c r="O940" s="83"/>
      <c r="P940" s="84"/>
    </row>
    <row r="941">
      <c r="A941" s="83"/>
      <c r="B941" s="83"/>
      <c r="C941" s="83"/>
      <c r="F941" s="78"/>
      <c r="G941" s="78"/>
      <c r="H941" s="78"/>
      <c r="I941" s="78"/>
      <c r="J941" s="78"/>
      <c r="O941" s="83"/>
      <c r="P941" s="84"/>
    </row>
    <row r="942">
      <c r="A942" s="83"/>
      <c r="B942" s="83"/>
      <c r="C942" s="83"/>
      <c r="F942" s="78"/>
      <c r="G942" s="78"/>
      <c r="H942" s="78"/>
      <c r="I942" s="78"/>
      <c r="J942" s="78"/>
      <c r="O942" s="83"/>
      <c r="P942" s="84"/>
    </row>
    <row r="943">
      <c r="A943" s="83"/>
      <c r="B943" s="83"/>
      <c r="C943" s="83"/>
      <c r="F943" s="78"/>
      <c r="G943" s="78"/>
      <c r="H943" s="78"/>
      <c r="I943" s="78"/>
      <c r="J943" s="78"/>
      <c r="O943" s="83"/>
      <c r="P943" s="84"/>
    </row>
    <row r="944">
      <c r="A944" s="83"/>
      <c r="B944" s="83"/>
      <c r="C944" s="83"/>
      <c r="F944" s="78"/>
      <c r="G944" s="78"/>
      <c r="H944" s="78"/>
      <c r="I944" s="78"/>
      <c r="J944" s="78"/>
      <c r="O944" s="83"/>
      <c r="P944" s="84"/>
    </row>
    <row r="945">
      <c r="A945" s="83"/>
      <c r="B945" s="83"/>
      <c r="C945" s="83"/>
      <c r="F945" s="78"/>
      <c r="G945" s="78"/>
      <c r="H945" s="78"/>
      <c r="I945" s="78"/>
      <c r="J945" s="78"/>
      <c r="O945" s="83"/>
      <c r="P945" s="84"/>
    </row>
    <row r="946">
      <c r="A946" s="83"/>
      <c r="B946" s="83"/>
      <c r="C946" s="83"/>
      <c r="F946" s="78"/>
      <c r="G946" s="78"/>
      <c r="H946" s="78"/>
      <c r="I946" s="78"/>
      <c r="J946" s="78"/>
      <c r="O946" s="83"/>
      <c r="P946" s="84"/>
    </row>
    <row r="947">
      <c r="A947" s="83"/>
      <c r="B947" s="83"/>
      <c r="C947" s="83"/>
      <c r="F947" s="78"/>
      <c r="G947" s="78"/>
      <c r="H947" s="78"/>
      <c r="I947" s="78"/>
      <c r="J947" s="78"/>
      <c r="O947" s="83"/>
      <c r="P947" s="84"/>
    </row>
    <row r="948">
      <c r="A948" s="83"/>
      <c r="B948" s="83"/>
      <c r="C948" s="83"/>
      <c r="F948" s="78"/>
      <c r="G948" s="78"/>
      <c r="H948" s="78"/>
      <c r="I948" s="78"/>
      <c r="J948" s="78"/>
      <c r="O948" s="83"/>
      <c r="P948" s="84"/>
    </row>
    <row r="949">
      <c r="A949" s="83"/>
      <c r="B949" s="83"/>
      <c r="C949" s="83"/>
      <c r="F949" s="78"/>
      <c r="G949" s="78"/>
      <c r="H949" s="78"/>
      <c r="I949" s="78"/>
      <c r="J949" s="78"/>
      <c r="O949" s="83"/>
      <c r="P949" s="84"/>
    </row>
    <row r="950">
      <c r="A950" s="83"/>
      <c r="B950" s="83"/>
      <c r="C950" s="83"/>
      <c r="F950" s="78"/>
      <c r="G950" s="78"/>
      <c r="H950" s="78"/>
      <c r="I950" s="78"/>
      <c r="J950" s="78"/>
      <c r="O950" s="83"/>
      <c r="P950" s="84"/>
    </row>
    <row r="951">
      <c r="A951" s="83"/>
      <c r="B951" s="83"/>
      <c r="C951" s="83"/>
      <c r="F951" s="78"/>
      <c r="G951" s="78"/>
      <c r="H951" s="78"/>
      <c r="I951" s="78"/>
      <c r="J951" s="78"/>
      <c r="O951" s="83"/>
      <c r="P951" s="84"/>
    </row>
    <row r="952">
      <c r="A952" s="83"/>
      <c r="B952" s="83"/>
      <c r="C952" s="83"/>
      <c r="F952" s="78"/>
      <c r="G952" s="78"/>
      <c r="H952" s="78"/>
      <c r="I952" s="78"/>
      <c r="J952" s="78"/>
      <c r="O952" s="83"/>
      <c r="P952" s="84"/>
    </row>
    <row r="953">
      <c r="A953" s="83"/>
      <c r="B953" s="83"/>
      <c r="C953" s="83"/>
      <c r="F953" s="78"/>
      <c r="G953" s="78"/>
      <c r="H953" s="78"/>
      <c r="I953" s="78"/>
      <c r="J953" s="78"/>
      <c r="O953" s="83"/>
      <c r="P953" s="84"/>
    </row>
    <row r="954">
      <c r="A954" s="83"/>
      <c r="B954" s="83"/>
      <c r="C954" s="83"/>
      <c r="F954" s="78"/>
      <c r="G954" s="78"/>
      <c r="H954" s="78"/>
      <c r="I954" s="78"/>
      <c r="J954" s="78"/>
      <c r="O954" s="83"/>
      <c r="P954" s="84"/>
    </row>
    <row r="955">
      <c r="A955" s="83"/>
      <c r="B955" s="83"/>
      <c r="C955" s="83"/>
      <c r="F955" s="78"/>
      <c r="G955" s="78"/>
      <c r="H955" s="78"/>
      <c r="I955" s="78"/>
      <c r="J955" s="78"/>
      <c r="O955" s="83"/>
      <c r="P955" s="84"/>
    </row>
    <row r="956">
      <c r="A956" s="83"/>
      <c r="B956" s="83"/>
      <c r="C956" s="83"/>
      <c r="F956" s="78"/>
      <c r="G956" s="78"/>
      <c r="H956" s="78"/>
      <c r="I956" s="78"/>
      <c r="J956" s="78"/>
      <c r="O956" s="83"/>
      <c r="P956" s="84"/>
    </row>
    <row r="957">
      <c r="A957" s="83"/>
      <c r="B957" s="83"/>
      <c r="C957" s="83"/>
      <c r="F957" s="78"/>
      <c r="G957" s="78"/>
      <c r="H957" s="78"/>
      <c r="I957" s="78"/>
      <c r="J957" s="78"/>
      <c r="O957" s="83"/>
      <c r="P957" s="84"/>
    </row>
    <row r="958">
      <c r="A958" s="83"/>
      <c r="B958" s="83"/>
      <c r="C958" s="83"/>
      <c r="F958" s="78"/>
      <c r="G958" s="78"/>
      <c r="H958" s="78"/>
      <c r="I958" s="78"/>
      <c r="J958" s="78"/>
      <c r="O958" s="83"/>
      <c r="P958" s="84"/>
    </row>
    <row r="959">
      <c r="A959" s="83"/>
      <c r="B959" s="83"/>
      <c r="C959" s="83"/>
      <c r="F959" s="78"/>
      <c r="G959" s="78"/>
      <c r="H959" s="78"/>
      <c r="I959" s="78"/>
      <c r="J959" s="78"/>
      <c r="O959" s="83"/>
      <c r="P959" s="84"/>
    </row>
    <row r="960">
      <c r="A960" s="83"/>
      <c r="B960" s="83"/>
      <c r="C960" s="83"/>
      <c r="F960" s="78"/>
      <c r="G960" s="78"/>
      <c r="H960" s="78"/>
      <c r="I960" s="78"/>
      <c r="J960" s="78"/>
      <c r="O960" s="83"/>
      <c r="P960" s="84"/>
    </row>
    <row r="961">
      <c r="A961" s="83"/>
      <c r="B961" s="83"/>
      <c r="C961" s="83"/>
      <c r="F961" s="78"/>
      <c r="G961" s="78"/>
      <c r="H961" s="78"/>
      <c r="I961" s="78"/>
      <c r="J961" s="78"/>
      <c r="O961" s="83"/>
      <c r="P961" s="84"/>
    </row>
    <row r="962">
      <c r="A962" s="83"/>
      <c r="B962" s="83"/>
      <c r="C962" s="83"/>
      <c r="F962" s="78"/>
      <c r="G962" s="78"/>
      <c r="H962" s="78"/>
      <c r="I962" s="78"/>
      <c r="J962" s="78"/>
      <c r="O962" s="83"/>
      <c r="P962" s="84"/>
    </row>
    <row r="963">
      <c r="A963" s="83"/>
      <c r="B963" s="83"/>
      <c r="C963" s="83"/>
      <c r="F963" s="78"/>
      <c r="G963" s="78"/>
      <c r="H963" s="78"/>
      <c r="I963" s="78"/>
      <c r="J963" s="78"/>
      <c r="O963" s="83"/>
      <c r="P963" s="84"/>
    </row>
    <row r="964">
      <c r="A964" s="83"/>
      <c r="B964" s="83"/>
      <c r="C964" s="83"/>
      <c r="F964" s="78"/>
      <c r="G964" s="78"/>
      <c r="H964" s="78"/>
      <c r="I964" s="78"/>
      <c r="J964" s="78"/>
      <c r="O964" s="83"/>
      <c r="P964" s="84"/>
    </row>
    <row r="965">
      <c r="A965" s="83"/>
      <c r="B965" s="83"/>
      <c r="C965" s="83"/>
      <c r="F965" s="78"/>
      <c r="G965" s="78"/>
      <c r="H965" s="78"/>
      <c r="I965" s="78"/>
      <c r="J965" s="78"/>
      <c r="O965" s="83"/>
      <c r="P965" s="84"/>
    </row>
    <row r="966">
      <c r="A966" s="83"/>
      <c r="B966" s="83"/>
      <c r="C966" s="83"/>
      <c r="F966" s="78"/>
      <c r="G966" s="78"/>
      <c r="H966" s="78"/>
      <c r="I966" s="78"/>
      <c r="J966" s="78"/>
      <c r="O966" s="83"/>
      <c r="P966" s="84"/>
    </row>
    <row r="967">
      <c r="A967" s="83"/>
      <c r="B967" s="83"/>
      <c r="C967" s="83"/>
      <c r="F967" s="78"/>
      <c r="G967" s="78"/>
      <c r="H967" s="78"/>
      <c r="I967" s="78"/>
      <c r="J967" s="78"/>
      <c r="O967" s="83"/>
      <c r="P967" s="84"/>
    </row>
    <row r="968">
      <c r="A968" s="83"/>
      <c r="B968" s="83"/>
      <c r="C968" s="83"/>
      <c r="F968" s="78"/>
      <c r="G968" s="78"/>
      <c r="H968" s="78"/>
      <c r="I968" s="78"/>
      <c r="J968" s="78"/>
      <c r="O968" s="83"/>
      <c r="P968" s="84"/>
    </row>
    <row r="969">
      <c r="A969" s="83"/>
      <c r="B969" s="83"/>
      <c r="C969" s="83"/>
      <c r="F969" s="78"/>
      <c r="G969" s="78"/>
      <c r="H969" s="78"/>
      <c r="I969" s="78"/>
      <c r="J969" s="78"/>
      <c r="O969" s="83"/>
      <c r="P969" s="84"/>
    </row>
    <row r="970">
      <c r="A970" s="83"/>
      <c r="B970" s="83"/>
      <c r="C970" s="83"/>
      <c r="F970" s="78"/>
      <c r="G970" s="78"/>
      <c r="H970" s="78"/>
      <c r="I970" s="78"/>
      <c r="J970" s="78"/>
      <c r="O970" s="83"/>
      <c r="P970" s="84"/>
    </row>
    <row r="971">
      <c r="A971" s="83"/>
      <c r="B971" s="83"/>
      <c r="C971" s="83"/>
      <c r="F971" s="78"/>
      <c r="G971" s="78"/>
      <c r="H971" s="78"/>
      <c r="I971" s="78"/>
      <c r="J971" s="78"/>
      <c r="O971" s="83"/>
      <c r="P971" s="84"/>
    </row>
    <row r="972">
      <c r="A972" s="83"/>
      <c r="B972" s="83"/>
      <c r="C972" s="83"/>
      <c r="F972" s="78"/>
      <c r="G972" s="78"/>
      <c r="H972" s="78"/>
      <c r="I972" s="78"/>
      <c r="J972" s="78"/>
      <c r="O972" s="83"/>
      <c r="P972" s="84"/>
    </row>
    <row r="973">
      <c r="A973" s="83"/>
      <c r="B973" s="83"/>
      <c r="C973" s="83"/>
      <c r="F973" s="78"/>
      <c r="G973" s="78"/>
      <c r="H973" s="78"/>
      <c r="I973" s="78"/>
      <c r="J973" s="78"/>
      <c r="O973" s="83"/>
      <c r="P973" s="84"/>
    </row>
    <row r="974">
      <c r="A974" s="83"/>
      <c r="B974" s="83"/>
      <c r="C974" s="83"/>
      <c r="F974" s="78"/>
      <c r="G974" s="78"/>
      <c r="H974" s="78"/>
      <c r="I974" s="78"/>
      <c r="J974" s="78"/>
      <c r="O974" s="83"/>
      <c r="P974" s="84"/>
    </row>
    <row r="975">
      <c r="A975" s="83"/>
      <c r="B975" s="83"/>
      <c r="C975" s="83"/>
      <c r="F975" s="78"/>
      <c r="G975" s="78"/>
      <c r="H975" s="78"/>
      <c r="I975" s="78"/>
      <c r="J975" s="78"/>
      <c r="O975" s="83"/>
      <c r="P975" s="84"/>
    </row>
    <row r="976">
      <c r="A976" s="83"/>
      <c r="B976" s="83"/>
      <c r="C976" s="83"/>
      <c r="F976" s="78"/>
      <c r="G976" s="78"/>
      <c r="H976" s="78"/>
      <c r="I976" s="78"/>
      <c r="J976" s="78"/>
      <c r="O976" s="83"/>
      <c r="P976" s="84"/>
    </row>
    <row r="977">
      <c r="A977" s="83"/>
      <c r="B977" s="83"/>
      <c r="C977" s="83"/>
      <c r="F977" s="78"/>
      <c r="G977" s="78"/>
      <c r="H977" s="78"/>
      <c r="I977" s="78"/>
      <c r="J977" s="78"/>
      <c r="O977" s="83"/>
      <c r="P977" s="84"/>
    </row>
    <row r="978">
      <c r="A978" s="83"/>
      <c r="B978" s="83"/>
      <c r="C978" s="83"/>
      <c r="F978" s="78"/>
      <c r="G978" s="78"/>
      <c r="H978" s="78"/>
      <c r="I978" s="78"/>
      <c r="J978" s="78"/>
      <c r="O978" s="83"/>
      <c r="P978" s="84"/>
    </row>
    <row r="979">
      <c r="A979" s="83"/>
      <c r="B979" s="83"/>
      <c r="C979" s="83"/>
      <c r="F979" s="78"/>
      <c r="G979" s="78"/>
      <c r="H979" s="78"/>
      <c r="I979" s="78"/>
      <c r="J979" s="78"/>
      <c r="O979" s="83"/>
      <c r="P979" s="84"/>
    </row>
    <row r="980">
      <c r="A980" s="83"/>
      <c r="B980" s="83"/>
      <c r="C980" s="83"/>
      <c r="F980" s="78"/>
      <c r="G980" s="78"/>
      <c r="H980" s="78"/>
      <c r="I980" s="78"/>
      <c r="J980" s="78"/>
      <c r="O980" s="83"/>
      <c r="P980" s="84"/>
    </row>
    <row r="981">
      <c r="A981" s="83"/>
      <c r="B981" s="83"/>
      <c r="C981" s="83"/>
      <c r="F981" s="78"/>
      <c r="G981" s="78"/>
      <c r="H981" s="78"/>
      <c r="I981" s="78"/>
      <c r="J981" s="78"/>
      <c r="O981" s="83"/>
      <c r="P981" s="84"/>
    </row>
    <row r="982">
      <c r="A982" s="83"/>
      <c r="B982" s="83"/>
      <c r="C982" s="83"/>
      <c r="F982" s="78"/>
      <c r="G982" s="78"/>
      <c r="H982" s="78"/>
      <c r="I982" s="78"/>
      <c r="J982" s="78"/>
      <c r="O982" s="83"/>
      <c r="P982" s="84"/>
    </row>
    <row r="983">
      <c r="A983" s="83"/>
      <c r="B983" s="83"/>
      <c r="C983" s="83"/>
      <c r="F983" s="78"/>
      <c r="G983" s="78"/>
      <c r="H983" s="78"/>
      <c r="I983" s="78"/>
      <c r="J983" s="78"/>
      <c r="O983" s="83"/>
      <c r="P983" s="84"/>
    </row>
    <row r="984">
      <c r="A984" s="83"/>
      <c r="B984" s="83"/>
      <c r="C984" s="83"/>
      <c r="F984" s="78"/>
      <c r="G984" s="78"/>
      <c r="H984" s="78"/>
      <c r="I984" s="78"/>
      <c r="J984" s="78"/>
      <c r="O984" s="83"/>
      <c r="P984" s="84"/>
    </row>
    <row r="985">
      <c r="A985" s="83"/>
      <c r="B985" s="83"/>
      <c r="C985" s="83"/>
      <c r="F985" s="78"/>
      <c r="G985" s="78"/>
      <c r="H985" s="78"/>
      <c r="I985" s="78"/>
      <c r="J985" s="78"/>
      <c r="O985" s="83"/>
      <c r="P985" s="8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1974</v>
      </c>
      <c r="B1" s="75" t="s">
        <v>1975</v>
      </c>
      <c r="C1" s="75" t="s">
        <v>1394</v>
      </c>
      <c r="D1" s="1" t="s">
        <v>1396</v>
      </c>
      <c r="E1" s="1" t="s">
        <v>2048</v>
      </c>
      <c r="F1" s="1" t="s">
        <v>1976</v>
      </c>
      <c r="G1" s="49" t="s">
        <v>1399</v>
      </c>
      <c r="H1" s="49" t="s">
        <v>1400</v>
      </c>
      <c r="I1" s="49" t="s">
        <v>1401</v>
      </c>
      <c r="J1" s="76" t="s">
        <v>1402</v>
      </c>
      <c r="K1" s="49" t="s">
        <v>1977</v>
      </c>
      <c r="L1" s="36" t="s">
        <v>1408</v>
      </c>
      <c r="M1" s="1" t="s">
        <v>1978</v>
      </c>
      <c r="N1" s="1" t="s">
        <v>1979</v>
      </c>
      <c r="O1" s="1" t="s">
        <v>1980</v>
      </c>
      <c r="P1" s="75" t="s">
        <v>1981</v>
      </c>
      <c r="Q1" s="77" t="s">
        <v>1982</v>
      </c>
      <c r="R1" s="36" t="s">
        <v>2072</v>
      </c>
      <c r="S1" s="36" t="s">
        <v>2073</v>
      </c>
      <c r="T1" s="36" t="s">
        <v>2075</v>
      </c>
      <c r="U1" s="1" t="s">
        <v>2077</v>
      </c>
      <c r="V1" s="1" t="s">
        <v>2080</v>
      </c>
    </row>
    <row r="2">
      <c r="A2" s="75" t="s">
        <v>1983</v>
      </c>
      <c r="B2" s="75">
        <v>2025.0</v>
      </c>
      <c r="C2" s="75" t="s">
        <v>1984</v>
      </c>
      <c r="D2" s="1" t="s">
        <v>1985</v>
      </c>
      <c r="E2" s="1" t="s">
        <v>2084</v>
      </c>
      <c r="F2" s="1" t="s">
        <v>1986</v>
      </c>
      <c r="G2" s="49" t="s">
        <v>1987</v>
      </c>
      <c r="H2" s="78"/>
      <c r="I2" s="78"/>
      <c r="J2" s="78"/>
      <c r="K2" s="78"/>
      <c r="M2" s="1">
        <v>582.0</v>
      </c>
      <c r="N2" s="1" t="s">
        <v>1988</v>
      </c>
      <c r="O2" s="75" t="s">
        <v>1989</v>
      </c>
      <c r="P2" s="75" t="s">
        <v>2091</v>
      </c>
      <c r="Q2" s="36" t="s">
        <v>2092</v>
      </c>
      <c r="R2" s="36" t="s">
        <v>2094</v>
      </c>
      <c r="S2" s="36" t="s">
        <v>2096</v>
      </c>
      <c r="T2" s="36" t="s">
        <v>2097</v>
      </c>
      <c r="U2" s="1" t="s">
        <v>2098</v>
      </c>
    </row>
    <row r="3">
      <c r="A3" s="75" t="s">
        <v>1992</v>
      </c>
      <c r="B3" s="75">
        <v>2023.0</v>
      </c>
      <c r="C3" s="75" t="s">
        <v>1993</v>
      </c>
      <c r="D3" s="1" t="s">
        <v>1994</v>
      </c>
      <c r="E3" s="1" t="s">
        <v>2100</v>
      </c>
      <c r="G3" s="49" t="s">
        <v>1995</v>
      </c>
      <c r="H3" s="49" t="s">
        <v>1996</v>
      </c>
      <c r="I3" s="49" t="s">
        <v>1997</v>
      </c>
      <c r="J3" s="49" t="s">
        <v>1998</v>
      </c>
      <c r="K3" s="49">
        <v>97.98</v>
      </c>
      <c r="L3" s="49" t="s">
        <v>1999</v>
      </c>
      <c r="P3" s="75" t="s">
        <v>2106</v>
      </c>
      <c r="Q3" s="77" t="s">
        <v>2001</v>
      </c>
      <c r="R3" s="43"/>
      <c r="S3" s="43"/>
      <c r="T3" s="43"/>
    </row>
    <row r="4">
      <c r="A4" s="75" t="s">
        <v>2002</v>
      </c>
      <c r="B4" s="75">
        <v>2024.0</v>
      </c>
      <c r="C4" s="75" t="s">
        <v>2003</v>
      </c>
      <c r="D4" s="1" t="s">
        <v>2004</v>
      </c>
      <c r="E4" s="1" t="s">
        <v>2110</v>
      </c>
      <c r="G4" s="49">
        <v>97.54</v>
      </c>
      <c r="H4" s="49">
        <v>98.0</v>
      </c>
      <c r="I4" s="78"/>
      <c r="J4" s="49">
        <v>96.0</v>
      </c>
      <c r="K4" s="49">
        <v>97.0</v>
      </c>
      <c r="P4" s="75" t="s">
        <v>2106</v>
      </c>
      <c r="Q4" s="77" t="s">
        <v>2005</v>
      </c>
      <c r="R4" s="43"/>
      <c r="S4" s="43"/>
      <c r="T4" s="43"/>
      <c r="V4" s="1" t="s">
        <v>2115</v>
      </c>
    </row>
    <row r="5">
      <c r="A5" s="75" t="s">
        <v>2006</v>
      </c>
      <c r="B5" s="75">
        <v>2025.0</v>
      </c>
      <c r="C5" s="75" t="s">
        <v>2007</v>
      </c>
      <c r="D5" s="1" t="s">
        <v>2008</v>
      </c>
      <c r="E5" s="1" t="s">
        <v>2119</v>
      </c>
      <c r="G5" s="49" t="s">
        <v>2009</v>
      </c>
      <c r="H5" s="78"/>
      <c r="I5" s="78"/>
      <c r="J5" s="78"/>
      <c r="K5" s="78"/>
      <c r="L5" s="49" t="s">
        <v>2010</v>
      </c>
      <c r="M5" s="1" t="s">
        <v>2011</v>
      </c>
      <c r="N5" s="1" t="s">
        <v>2012</v>
      </c>
      <c r="P5" s="75" t="s">
        <v>2106</v>
      </c>
      <c r="Q5" s="77" t="s">
        <v>2013</v>
      </c>
      <c r="R5" s="43"/>
      <c r="S5" s="43"/>
      <c r="T5" s="43"/>
    </row>
    <row r="6">
      <c r="A6" s="75" t="s">
        <v>2014</v>
      </c>
      <c r="B6" s="75">
        <v>2025.0</v>
      </c>
      <c r="C6" s="75" t="s">
        <v>2015</v>
      </c>
      <c r="D6" s="1" t="s">
        <v>2016</v>
      </c>
      <c r="E6" s="1" t="s">
        <v>2131</v>
      </c>
      <c r="G6" s="49" t="s">
        <v>2017</v>
      </c>
      <c r="H6" s="49" t="s">
        <v>2018</v>
      </c>
      <c r="I6" s="78"/>
      <c r="J6" s="49" t="s">
        <v>2017</v>
      </c>
      <c r="K6" s="49" t="s">
        <v>2019</v>
      </c>
      <c r="O6" s="79"/>
      <c r="P6" s="1" t="s">
        <v>2106</v>
      </c>
      <c r="Q6" s="36" t="s">
        <v>2001</v>
      </c>
      <c r="R6" s="43"/>
      <c r="S6" s="43"/>
      <c r="T6" s="43"/>
    </row>
    <row r="7">
      <c r="A7" s="75" t="s">
        <v>2020</v>
      </c>
      <c r="B7" s="75">
        <v>2025.0</v>
      </c>
      <c r="C7" s="75" t="s">
        <v>2021</v>
      </c>
      <c r="D7" s="1" t="s">
        <v>2022</v>
      </c>
      <c r="E7" s="1" t="s">
        <v>2144</v>
      </c>
      <c r="G7" s="49" t="s">
        <v>2023</v>
      </c>
      <c r="H7" s="78"/>
      <c r="I7" s="78"/>
      <c r="J7" s="78"/>
      <c r="K7" s="1" t="s">
        <v>2024</v>
      </c>
      <c r="L7" s="49"/>
      <c r="M7" s="1" t="s">
        <v>2025</v>
      </c>
      <c r="N7" s="1" t="s">
        <v>2026</v>
      </c>
      <c r="P7" s="1" t="s">
        <v>2106</v>
      </c>
      <c r="Q7" s="77" t="s">
        <v>2013</v>
      </c>
      <c r="R7" s="43"/>
      <c r="S7" s="43"/>
      <c r="T7" s="43"/>
    </row>
    <row r="8">
      <c r="A8" s="1" t="s">
        <v>2027</v>
      </c>
      <c r="B8" s="1">
        <v>2025.0</v>
      </c>
      <c r="C8" s="1" t="s">
        <v>2028</v>
      </c>
      <c r="D8" s="1" t="s">
        <v>2029</v>
      </c>
      <c r="E8" s="1" t="s">
        <v>2150</v>
      </c>
      <c r="G8" s="1" t="s">
        <v>2030</v>
      </c>
      <c r="H8" s="1" t="s">
        <v>2031</v>
      </c>
      <c r="J8" s="1" t="s">
        <v>2032</v>
      </c>
      <c r="M8" s="1" t="s">
        <v>2033</v>
      </c>
      <c r="N8" s="1" t="s">
        <v>2034</v>
      </c>
      <c r="O8" s="1">
        <v>0.083</v>
      </c>
      <c r="P8" s="1" t="s">
        <v>2106</v>
      </c>
      <c r="Q8" s="36" t="s">
        <v>2035</v>
      </c>
      <c r="R8" s="43"/>
      <c r="S8" s="43"/>
      <c r="T8" s="43"/>
      <c r="U8" s="1" t="s">
        <v>2098</v>
      </c>
    </row>
    <row r="9">
      <c r="A9" s="75" t="s">
        <v>2155</v>
      </c>
      <c r="B9" s="75">
        <v>2026.0</v>
      </c>
      <c r="C9" s="75" t="s">
        <v>2037</v>
      </c>
      <c r="D9" s="1" t="s">
        <v>2038</v>
      </c>
      <c r="E9" s="1" t="s">
        <v>2150</v>
      </c>
      <c r="G9" s="49" t="s">
        <v>2039</v>
      </c>
      <c r="H9" s="49" t="s">
        <v>2040</v>
      </c>
      <c r="I9" s="49" t="s">
        <v>2040</v>
      </c>
      <c r="J9" s="49" t="s">
        <v>2041</v>
      </c>
      <c r="K9" s="49" t="s">
        <v>2042</v>
      </c>
      <c r="L9" s="1" t="s">
        <v>2043</v>
      </c>
      <c r="M9" s="1" t="s">
        <v>1416</v>
      </c>
      <c r="N9" s="1" t="s">
        <v>2044</v>
      </c>
      <c r="P9" s="75" t="s">
        <v>2106</v>
      </c>
      <c r="Q9" s="77" t="s">
        <v>2045</v>
      </c>
      <c r="R9" s="43"/>
      <c r="S9" s="43"/>
      <c r="T9" s="43"/>
    </row>
    <row r="10">
      <c r="A10" s="75" t="s">
        <v>2046</v>
      </c>
      <c r="B10" s="75">
        <v>2025.0</v>
      </c>
      <c r="C10" s="75" t="s">
        <v>2047</v>
      </c>
      <c r="D10" s="1" t="s">
        <v>1414</v>
      </c>
      <c r="E10" s="1" t="s">
        <v>2164</v>
      </c>
      <c r="G10" s="49">
        <v>98.6</v>
      </c>
      <c r="H10" s="49">
        <v>97.37</v>
      </c>
      <c r="I10" s="49">
        <v>98.57</v>
      </c>
      <c r="J10" s="49">
        <v>98.67</v>
      </c>
      <c r="K10" s="49">
        <v>98.02</v>
      </c>
      <c r="M10" s="1" t="s">
        <v>2049</v>
      </c>
      <c r="N10" s="1" t="s">
        <v>2050</v>
      </c>
      <c r="P10" s="75" t="s">
        <v>2106</v>
      </c>
      <c r="Q10" s="77" t="s">
        <v>2051</v>
      </c>
      <c r="R10" s="43"/>
      <c r="S10" s="43"/>
      <c r="T10" s="43"/>
    </row>
    <row r="11">
      <c r="A11" s="75" t="s">
        <v>2052</v>
      </c>
      <c r="B11" s="75">
        <v>2025.0</v>
      </c>
      <c r="C11" s="75" t="s">
        <v>2053</v>
      </c>
      <c r="D11" s="1" t="s">
        <v>2054</v>
      </c>
      <c r="E11" s="1" t="s">
        <v>2167</v>
      </c>
      <c r="G11" s="49" t="s">
        <v>2055</v>
      </c>
      <c r="H11" s="49" t="s">
        <v>2056</v>
      </c>
      <c r="I11" s="78"/>
      <c r="J11" s="49" t="s">
        <v>2057</v>
      </c>
      <c r="K11" s="49" t="s">
        <v>2058</v>
      </c>
      <c r="M11" s="1" t="s">
        <v>2059</v>
      </c>
      <c r="N11" s="1" t="s">
        <v>2060</v>
      </c>
      <c r="P11" s="75" t="s">
        <v>2106</v>
      </c>
      <c r="Q11" s="77" t="s">
        <v>2061</v>
      </c>
      <c r="R11" s="43"/>
      <c r="S11" s="43"/>
      <c r="T11" s="43"/>
      <c r="U11" s="1" t="s">
        <v>2098</v>
      </c>
    </row>
    <row r="12">
      <c r="A12" s="75" t="s">
        <v>2062</v>
      </c>
      <c r="B12" s="75">
        <v>2025.0</v>
      </c>
      <c r="C12" s="75" t="s">
        <v>2063</v>
      </c>
      <c r="D12" s="1" t="s">
        <v>2064</v>
      </c>
      <c r="E12" s="1" t="s">
        <v>2177</v>
      </c>
      <c r="F12" s="1" t="s">
        <v>2065</v>
      </c>
      <c r="G12" s="80">
        <v>93.73</v>
      </c>
      <c r="H12" s="80">
        <v>90.64</v>
      </c>
      <c r="I12" s="78"/>
      <c r="J12" s="80">
        <v>89.37</v>
      </c>
      <c r="K12" s="80">
        <v>89.9</v>
      </c>
      <c r="M12" s="75" t="s">
        <v>2066</v>
      </c>
      <c r="N12" s="38" t="s">
        <v>2067</v>
      </c>
      <c r="O12" s="1">
        <v>0.04506</v>
      </c>
      <c r="P12" s="75" t="s">
        <v>2106</v>
      </c>
      <c r="Q12" s="77" t="s">
        <v>2068</v>
      </c>
      <c r="R12" s="36" t="s">
        <v>2186</v>
      </c>
      <c r="S12" s="36" t="s">
        <v>2096</v>
      </c>
      <c r="T12" s="36" t="s">
        <v>2187</v>
      </c>
    </row>
    <row r="13">
      <c r="A13" s="75" t="s">
        <v>2069</v>
      </c>
      <c r="B13" s="75">
        <v>2025.0</v>
      </c>
      <c r="C13" s="75" t="s">
        <v>2070</v>
      </c>
      <c r="D13" s="1" t="s">
        <v>2071</v>
      </c>
      <c r="E13" s="1" t="s">
        <v>2188</v>
      </c>
      <c r="G13" s="49">
        <v>97.0</v>
      </c>
      <c r="H13" s="49">
        <v>97.0</v>
      </c>
      <c r="I13" s="78"/>
      <c r="J13" s="49">
        <v>97.0</v>
      </c>
      <c r="K13" s="49">
        <v>97.0</v>
      </c>
      <c r="M13" s="1" t="s">
        <v>2074</v>
      </c>
      <c r="N13" s="1" t="s">
        <v>2044</v>
      </c>
      <c r="P13" s="75" t="s">
        <v>2106</v>
      </c>
      <c r="Q13" s="77" t="s">
        <v>2051</v>
      </c>
      <c r="R13" s="43"/>
      <c r="S13" s="43"/>
      <c r="T13" s="43"/>
    </row>
    <row r="14">
      <c r="A14" s="75" t="s">
        <v>2076</v>
      </c>
      <c r="B14" s="75">
        <v>2025.0</v>
      </c>
      <c r="C14" s="75" t="s">
        <v>2078</v>
      </c>
      <c r="D14" s="1" t="s">
        <v>2079</v>
      </c>
      <c r="E14" s="1" t="s">
        <v>2192</v>
      </c>
      <c r="G14" s="49" t="s">
        <v>2081</v>
      </c>
      <c r="H14" s="78"/>
      <c r="I14" s="78"/>
      <c r="J14" s="78"/>
      <c r="K14" s="1">
        <v>85.1</v>
      </c>
      <c r="N14" s="1" t="s">
        <v>2082</v>
      </c>
      <c r="O14" s="1" t="s">
        <v>2044</v>
      </c>
      <c r="P14" s="77" t="s">
        <v>2106</v>
      </c>
      <c r="Q14" s="1" t="s">
        <v>2083</v>
      </c>
      <c r="R14" s="43"/>
      <c r="S14" s="43"/>
      <c r="T14" s="43"/>
    </row>
    <row r="15">
      <c r="A15" s="75" t="s">
        <v>2085</v>
      </c>
      <c r="B15" s="75">
        <v>2025.0</v>
      </c>
      <c r="C15" s="75" t="s">
        <v>2086</v>
      </c>
      <c r="D15" s="1" t="s">
        <v>2087</v>
      </c>
      <c r="E15" s="1" t="s">
        <v>2188</v>
      </c>
      <c r="G15" s="49">
        <v>99.03</v>
      </c>
      <c r="H15" s="49">
        <v>98.79</v>
      </c>
      <c r="I15" s="78"/>
      <c r="J15" s="49">
        <v>98.97</v>
      </c>
      <c r="K15" s="49">
        <v>98.88</v>
      </c>
      <c r="M15" s="1" t="s">
        <v>2088</v>
      </c>
      <c r="N15" s="1" t="s">
        <v>2089</v>
      </c>
      <c r="O15" s="1">
        <v>0.0032</v>
      </c>
      <c r="P15" s="75" t="s">
        <v>2106</v>
      </c>
      <c r="Q15" s="77" t="s">
        <v>2090</v>
      </c>
      <c r="R15" s="43"/>
      <c r="S15" s="43"/>
      <c r="T15" s="43"/>
      <c r="V15" s="1" t="s">
        <v>2209</v>
      </c>
    </row>
    <row r="16">
      <c r="A16" s="75" t="s">
        <v>1621</v>
      </c>
      <c r="B16" s="75">
        <v>2021.0</v>
      </c>
      <c r="C16" s="75" t="s">
        <v>2093</v>
      </c>
      <c r="D16" s="1" t="s">
        <v>2095</v>
      </c>
      <c r="E16" s="1" t="s">
        <v>2188</v>
      </c>
      <c r="F16" s="1"/>
      <c r="G16" s="49">
        <v>91.1</v>
      </c>
      <c r="H16" s="49">
        <v>90.8</v>
      </c>
      <c r="I16" s="78"/>
      <c r="J16" s="49">
        <v>91.4</v>
      </c>
      <c r="K16" s="49">
        <v>91.1</v>
      </c>
      <c r="L16" s="1"/>
      <c r="M16" s="1"/>
      <c r="N16" s="1" t="s">
        <v>2044</v>
      </c>
      <c r="O16" s="1">
        <v>0.0018</v>
      </c>
      <c r="P16" s="75" t="s">
        <v>2218</v>
      </c>
      <c r="Q16" s="77" t="s">
        <v>2101</v>
      </c>
      <c r="R16" s="43"/>
      <c r="S16" s="43"/>
      <c r="T16" s="43"/>
    </row>
    <row r="17">
      <c r="A17" s="75" t="s">
        <v>2219</v>
      </c>
      <c r="B17" s="75">
        <v>2023.0</v>
      </c>
      <c r="C17" s="75" t="s">
        <v>2103</v>
      </c>
      <c r="D17" s="1" t="s">
        <v>2104</v>
      </c>
      <c r="E17" s="1" t="s">
        <v>2221</v>
      </c>
      <c r="G17" s="49">
        <v>86.5</v>
      </c>
      <c r="H17" s="49">
        <v>77.4</v>
      </c>
      <c r="I17" s="78"/>
      <c r="J17" s="49">
        <v>85.3</v>
      </c>
      <c r="K17" s="49">
        <v>81.2</v>
      </c>
      <c r="M17" s="1" t="s">
        <v>2105</v>
      </c>
      <c r="P17" s="75" t="s">
        <v>2218</v>
      </c>
      <c r="Q17" s="77" t="s">
        <v>2107</v>
      </c>
      <c r="R17" s="43"/>
      <c r="S17" s="43"/>
      <c r="T17" s="43"/>
    </row>
    <row r="18">
      <c r="A18" s="75" t="s">
        <v>1970</v>
      </c>
      <c r="B18" s="75">
        <v>2023.0</v>
      </c>
      <c r="C18" s="75" t="s">
        <v>2108</v>
      </c>
      <c r="D18" s="1" t="s">
        <v>2226</v>
      </c>
      <c r="E18" s="1" t="s">
        <v>2188</v>
      </c>
      <c r="G18" s="49">
        <v>90.3</v>
      </c>
      <c r="H18" s="49">
        <v>83.47</v>
      </c>
      <c r="I18" s="49">
        <v>93.79</v>
      </c>
      <c r="J18" s="49">
        <v>78.71</v>
      </c>
      <c r="K18" s="49">
        <v>81.03</v>
      </c>
      <c r="M18" s="1" t="s">
        <v>2111</v>
      </c>
      <c r="N18" s="1" t="s">
        <v>2112</v>
      </c>
      <c r="P18" s="75" t="s">
        <v>2218</v>
      </c>
      <c r="Q18" s="77" t="s">
        <v>2113</v>
      </c>
      <c r="R18" s="43"/>
      <c r="S18" s="43"/>
      <c r="T18" s="43"/>
    </row>
    <row r="19">
      <c r="A19" s="75" t="s">
        <v>2114</v>
      </c>
      <c r="B19" s="75">
        <v>2023.0</v>
      </c>
      <c r="C19" s="75" t="s">
        <v>2116</v>
      </c>
      <c r="D19" s="1" t="s">
        <v>2117</v>
      </c>
      <c r="E19" s="1" t="s">
        <v>2188</v>
      </c>
      <c r="G19" s="49">
        <v>80.0</v>
      </c>
      <c r="H19" s="78"/>
      <c r="I19" s="78"/>
      <c r="J19" s="78"/>
      <c r="K19" s="78"/>
      <c r="P19" s="75" t="s">
        <v>2218</v>
      </c>
      <c r="Q19" s="77" t="s">
        <v>2118</v>
      </c>
      <c r="R19" s="43"/>
      <c r="S19" s="43"/>
      <c r="T19" s="43"/>
    </row>
    <row r="20">
      <c r="A20" s="75" t="s">
        <v>2120</v>
      </c>
      <c r="B20" s="75">
        <v>2024.0</v>
      </c>
      <c r="C20" s="75" t="s">
        <v>2121</v>
      </c>
      <c r="D20" s="38" t="s">
        <v>2122</v>
      </c>
      <c r="E20" s="38" t="s">
        <v>2238</v>
      </c>
      <c r="G20" s="80" t="s">
        <v>2123</v>
      </c>
      <c r="H20" s="80" t="s">
        <v>2124</v>
      </c>
      <c r="I20" s="78"/>
      <c r="J20" s="80" t="s">
        <v>2125</v>
      </c>
      <c r="K20" s="78"/>
      <c r="M20" s="75" t="s">
        <v>2126</v>
      </c>
      <c r="N20" s="75" t="s">
        <v>2127</v>
      </c>
      <c r="O20" s="80" t="s">
        <v>2128</v>
      </c>
      <c r="P20" s="75" t="s">
        <v>2218</v>
      </c>
      <c r="Q20" s="77" t="s">
        <v>2129</v>
      </c>
      <c r="R20" s="43"/>
      <c r="S20" s="43"/>
      <c r="T20" s="43"/>
    </row>
    <row r="21">
      <c r="A21" s="75" t="s">
        <v>2130</v>
      </c>
      <c r="B21" s="75">
        <v>2025.0</v>
      </c>
      <c r="C21" s="75" t="s">
        <v>2132</v>
      </c>
      <c r="D21" s="38" t="s">
        <v>2133</v>
      </c>
      <c r="E21" s="38" t="s">
        <v>2100</v>
      </c>
      <c r="G21" s="80" t="s">
        <v>2134</v>
      </c>
      <c r="H21" s="80" t="s">
        <v>2135</v>
      </c>
      <c r="I21" s="78"/>
      <c r="J21" s="80" t="s">
        <v>2136</v>
      </c>
      <c r="K21" s="80" t="s">
        <v>2137</v>
      </c>
      <c r="M21" s="75" t="s">
        <v>2138</v>
      </c>
      <c r="N21" s="75" t="s">
        <v>2139</v>
      </c>
      <c r="O21" s="75">
        <v>0.00399</v>
      </c>
      <c r="P21" s="75" t="s">
        <v>2218</v>
      </c>
      <c r="Q21" s="77" t="s">
        <v>2140</v>
      </c>
      <c r="R21" s="43"/>
      <c r="S21" s="43"/>
      <c r="T21" s="43"/>
    </row>
    <row r="22">
      <c r="A22" s="75" t="s">
        <v>2141</v>
      </c>
      <c r="B22" s="75">
        <v>2025.0</v>
      </c>
      <c r="C22" s="75" t="s">
        <v>2142</v>
      </c>
      <c r="D22" s="1" t="s">
        <v>1506</v>
      </c>
      <c r="E22" s="1" t="s">
        <v>2221</v>
      </c>
      <c r="G22" s="49">
        <v>91.2</v>
      </c>
      <c r="H22" s="49">
        <v>91.8</v>
      </c>
      <c r="I22" s="78"/>
      <c r="J22" s="49">
        <v>91.2</v>
      </c>
      <c r="K22" s="49">
        <v>91.5</v>
      </c>
      <c r="L22" s="1">
        <v>0.94</v>
      </c>
      <c r="M22" s="1" t="s">
        <v>2145</v>
      </c>
      <c r="N22" s="1" t="s">
        <v>2044</v>
      </c>
      <c r="P22" s="75" t="s">
        <v>2218</v>
      </c>
      <c r="Q22" s="77" t="s">
        <v>2146</v>
      </c>
      <c r="R22" s="43"/>
      <c r="S22" s="43"/>
      <c r="T22" s="43"/>
      <c r="V22" s="1" t="s">
        <v>2248</v>
      </c>
    </row>
    <row r="23">
      <c r="A23" s="1" t="s">
        <v>2147</v>
      </c>
      <c r="B23" s="75">
        <v>2024.0</v>
      </c>
      <c r="C23" s="75" t="s">
        <v>2148</v>
      </c>
      <c r="D23" s="1" t="s">
        <v>2149</v>
      </c>
      <c r="E23" s="1" t="s">
        <v>2188</v>
      </c>
      <c r="G23" s="49">
        <v>96.53</v>
      </c>
      <c r="H23" s="49">
        <v>91.7</v>
      </c>
      <c r="I23" s="49">
        <v>95.95</v>
      </c>
      <c r="J23" s="49">
        <v>97.79</v>
      </c>
      <c r="K23" s="49">
        <v>94.64</v>
      </c>
      <c r="N23" s="1" t="s">
        <v>1416</v>
      </c>
      <c r="O23" s="1" t="s">
        <v>2044</v>
      </c>
      <c r="P23" s="1" t="s">
        <v>2218</v>
      </c>
      <c r="Q23" s="36" t="s">
        <v>2151</v>
      </c>
      <c r="R23" s="43"/>
      <c r="S23" s="43"/>
      <c r="T23" s="43"/>
    </row>
    <row r="24">
      <c r="A24" s="75" t="s">
        <v>2152</v>
      </c>
      <c r="B24" s="75">
        <v>2024.0</v>
      </c>
      <c r="C24" s="75" t="s">
        <v>2153</v>
      </c>
      <c r="D24" s="1" t="s">
        <v>2154</v>
      </c>
      <c r="E24" s="1" t="s">
        <v>2188</v>
      </c>
      <c r="G24" s="49">
        <v>96.06</v>
      </c>
      <c r="H24" s="49">
        <v>94.85</v>
      </c>
      <c r="I24" s="78"/>
      <c r="J24" s="49">
        <v>98.02</v>
      </c>
      <c r="K24" s="49">
        <v>96.28</v>
      </c>
      <c r="M24" s="1" t="s">
        <v>1416</v>
      </c>
      <c r="N24" s="1" t="s">
        <v>2139</v>
      </c>
      <c r="P24" s="75" t="s">
        <v>2218</v>
      </c>
      <c r="Q24" s="77" t="s">
        <v>2156</v>
      </c>
      <c r="R24" s="43"/>
      <c r="S24" s="43"/>
      <c r="T24" s="43"/>
    </row>
    <row r="25">
      <c r="A25" s="75" t="s">
        <v>2157</v>
      </c>
      <c r="B25" s="75">
        <v>2025.0</v>
      </c>
      <c r="C25" s="75" t="s">
        <v>2158</v>
      </c>
      <c r="D25" s="1" t="s">
        <v>2159</v>
      </c>
      <c r="E25" s="1" t="s">
        <v>2271</v>
      </c>
      <c r="G25" s="49" t="s">
        <v>2160</v>
      </c>
      <c r="H25" s="49" t="s">
        <v>2161</v>
      </c>
      <c r="I25" s="78"/>
      <c r="J25" s="49" t="s">
        <v>2160</v>
      </c>
      <c r="K25" s="49" t="s">
        <v>2162</v>
      </c>
      <c r="M25" s="1" t="s">
        <v>2163</v>
      </c>
      <c r="N25" s="1" t="s">
        <v>2044</v>
      </c>
      <c r="P25" s="75" t="s">
        <v>2218</v>
      </c>
      <c r="Q25" s="77" t="s">
        <v>2146</v>
      </c>
      <c r="R25" s="43"/>
      <c r="S25" s="43"/>
      <c r="T25" s="43"/>
    </row>
    <row r="26">
      <c r="A26" s="75" t="s">
        <v>2280</v>
      </c>
      <c r="B26" s="75">
        <v>2025.0</v>
      </c>
      <c r="C26" s="75" t="s">
        <v>2166</v>
      </c>
      <c r="D26" s="1" t="s">
        <v>1955</v>
      </c>
      <c r="E26" s="1" t="s">
        <v>2221</v>
      </c>
      <c r="G26" s="49">
        <v>92.0</v>
      </c>
      <c r="H26" s="49">
        <v>92.0</v>
      </c>
      <c r="I26" s="78"/>
      <c r="J26" s="49">
        <v>92.0</v>
      </c>
      <c r="K26" s="49">
        <v>92.0</v>
      </c>
      <c r="N26" s="1" t="s">
        <v>1416</v>
      </c>
      <c r="O26" s="1" t="s">
        <v>2044</v>
      </c>
      <c r="P26" s="75" t="s">
        <v>2218</v>
      </c>
      <c r="Q26" s="36" t="s">
        <v>2151</v>
      </c>
      <c r="R26" s="43"/>
      <c r="S26" s="43"/>
      <c r="T26" s="43"/>
    </row>
    <row r="27">
      <c r="A27" s="75" t="s">
        <v>2295</v>
      </c>
      <c r="B27" s="75">
        <v>2025.0</v>
      </c>
      <c r="C27" s="75" t="s">
        <v>2169</v>
      </c>
      <c r="D27" s="1" t="s">
        <v>2170</v>
      </c>
      <c r="E27" s="1" t="s">
        <v>2300</v>
      </c>
      <c r="G27" s="49" t="s">
        <v>2171</v>
      </c>
      <c r="H27" s="49" t="s">
        <v>2172</v>
      </c>
      <c r="I27" s="78"/>
      <c r="J27" s="49" t="s">
        <v>2172</v>
      </c>
      <c r="K27" s="49" t="s">
        <v>2172</v>
      </c>
      <c r="L27" s="1" t="s">
        <v>2173</v>
      </c>
      <c r="M27" s="1" t="s">
        <v>1416</v>
      </c>
      <c r="N27" s="1" t="s">
        <v>2044</v>
      </c>
      <c r="P27" s="75" t="s">
        <v>2218</v>
      </c>
      <c r="Q27" s="77" t="s">
        <v>2174</v>
      </c>
      <c r="R27" s="43"/>
      <c r="S27" s="43"/>
      <c r="T27" s="43"/>
      <c r="V27" s="1" t="s">
        <v>2209</v>
      </c>
    </row>
    <row r="28">
      <c r="A28" s="75" t="s">
        <v>2317</v>
      </c>
      <c r="B28" s="75">
        <v>2024.0</v>
      </c>
      <c r="C28" s="75" t="s">
        <v>2176</v>
      </c>
      <c r="D28" s="1" t="s">
        <v>2226</v>
      </c>
      <c r="E28" s="1" t="s">
        <v>2188</v>
      </c>
      <c r="G28" s="49">
        <v>94.71</v>
      </c>
      <c r="H28" s="49">
        <v>93.41</v>
      </c>
      <c r="I28" s="78"/>
      <c r="J28" s="49">
        <v>92.36</v>
      </c>
      <c r="K28" s="49">
        <v>93.46</v>
      </c>
      <c r="M28" s="1" t="s">
        <v>2178</v>
      </c>
      <c r="N28" s="1" t="s">
        <v>2179</v>
      </c>
      <c r="O28" s="1">
        <v>0.0105</v>
      </c>
      <c r="P28" s="75" t="s">
        <v>2329</v>
      </c>
      <c r="Q28" s="77" t="s">
        <v>2140</v>
      </c>
      <c r="R28" s="43"/>
      <c r="S28" s="36" t="s">
        <v>2096</v>
      </c>
      <c r="T28" s="36" t="s">
        <v>2338</v>
      </c>
    </row>
    <row r="29">
      <c r="A29" s="75" t="s">
        <v>2181</v>
      </c>
      <c r="B29" s="75">
        <v>2024.0</v>
      </c>
      <c r="C29" s="75" t="s">
        <v>2182</v>
      </c>
      <c r="D29" s="38" t="s">
        <v>2183</v>
      </c>
      <c r="E29" s="38" t="s">
        <v>2100</v>
      </c>
      <c r="F29" s="53"/>
      <c r="G29" s="80" t="s">
        <v>2184</v>
      </c>
      <c r="H29" s="80" t="s">
        <v>2184</v>
      </c>
      <c r="I29" s="81"/>
      <c r="J29" s="80" t="s">
        <v>2184</v>
      </c>
      <c r="K29" s="80" t="s">
        <v>2184</v>
      </c>
      <c r="L29" s="53"/>
      <c r="M29" s="53"/>
      <c r="N29" s="53"/>
      <c r="O29" s="53"/>
      <c r="P29" s="75" t="s">
        <v>2329</v>
      </c>
      <c r="Q29" s="77" t="s">
        <v>2185</v>
      </c>
      <c r="R29" s="35"/>
      <c r="S29" s="35"/>
      <c r="T29" s="35"/>
      <c r="U29" s="53"/>
      <c r="V29" s="53"/>
      <c r="W29" s="53"/>
      <c r="X29" s="53"/>
      <c r="Y29" s="53"/>
      <c r="Z29" s="53"/>
      <c r="AA29" s="53"/>
      <c r="AB29" s="53"/>
      <c r="AC29" s="53"/>
      <c r="AD29" s="53"/>
      <c r="AE29" s="53"/>
      <c r="AF29" s="53"/>
      <c r="AG29" s="53"/>
    </row>
    <row r="30">
      <c r="A30" s="75" t="s">
        <v>1961</v>
      </c>
      <c r="B30" s="75">
        <v>2023.0</v>
      </c>
      <c r="C30" s="75" t="s">
        <v>2189</v>
      </c>
      <c r="D30" s="1" t="s">
        <v>2190</v>
      </c>
      <c r="E30" s="1" t="s">
        <v>2188</v>
      </c>
      <c r="G30" s="49">
        <v>95.3</v>
      </c>
      <c r="H30" s="49">
        <v>98.8</v>
      </c>
      <c r="I30" s="78"/>
      <c r="J30" s="49">
        <v>99.4</v>
      </c>
      <c r="K30" s="49">
        <v>92.5</v>
      </c>
      <c r="N30" s="1" t="s">
        <v>2191</v>
      </c>
      <c r="O30" s="1">
        <v>0.0592</v>
      </c>
      <c r="P30" s="75" t="s">
        <v>2372</v>
      </c>
      <c r="Q30" s="77" t="s">
        <v>2194</v>
      </c>
      <c r="R30" s="43"/>
      <c r="S30" s="43"/>
      <c r="T30" s="43"/>
    </row>
    <row r="31">
      <c r="A31" s="75" t="s">
        <v>2195</v>
      </c>
      <c r="B31" s="75">
        <v>2024.0</v>
      </c>
      <c r="C31" s="75" t="s">
        <v>2196</v>
      </c>
      <c r="D31" s="38" t="s">
        <v>2197</v>
      </c>
      <c r="E31" s="38" t="s">
        <v>2383</v>
      </c>
      <c r="G31" s="80" t="s">
        <v>2198</v>
      </c>
      <c r="H31" s="80" t="s">
        <v>2199</v>
      </c>
      <c r="I31" s="80" t="s">
        <v>2200</v>
      </c>
      <c r="J31" s="80" t="s">
        <v>2201</v>
      </c>
      <c r="K31" s="80" t="s">
        <v>2202</v>
      </c>
      <c r="L31" s="80" t="s">
        <v>2203</v>
      </c>
      <c r="M31" s="75" t="s">
        <v>2204</v>
      </c>
      <c r="N31" s="1" t="s">
        <v>2205</v>
      </c>
      <c r="P31" s="75" t="s">
        <v>2372</v>
      </c>
      <c r="Q31" s="77" t="s">
        <v>2051</v>
      </c>
      <c r="R31" s="43"/>
      <c r="S31" s="43"/>
      <c r="T31" s="43"/>
    </row>
    <row r="32">
      <c r="A32" s="75" t="s">
        <v>2206</v>
      </c>
      <c r="B32" s="75">
        <v>2024.0</v>
      </c>
      <c r="C32" s="75" t="s">
        <v>2207</v>
      </c>
      <c r="D32" s="38" t="s">
        <v>2208</v>
      </c>
      <c r="E32" s="38" t="s">
        <v>2100</v>
      </c>
      <c r="G32" s="80" t="s">
        <v>2210</v>
      </c>
      <c r="H32" s="80" t="s">
        <v>2211</v>
      </c>
      <c r="I32" s="78"/>
      <c r="J32" s="80" t="s">
        <v>2212</v>
      </c>
      <c r="K32" s="80" t="s">
        <v>2213</v>
      </c>
      <c r="M32" s="1" t="s">
        <v>2214</v>
      </c>
      <c r="P32" s="75" t="s">
        <v>2372</v>
      </c>
      <c r="Q32" s="77" t="s">
        <v>2001</v>
      </c>
      <c r="R32" s="43"/>
      <c r="S32" s="43"/>
      <c r="T32" s="43"/>
    </row>
    <row r="33">
      <c r="A33" s="75" t="s">
        <v>2215</v>
      </c>
      <c r="B33" s="75">
        <v>2024.0</v>
      </c>
      <c r="C33" s="75" t="s">
        <v>2216</v>
      </c>
      <c r="D33" s="1" t="s">
        <v>2217</v>
      </c>
      <c r="E33" s="1" t="s">
        <v>2221</v>
      </c>
      <c r="G33" s="78"/>
      <c r="H33" s="49">
        <v>0.77</v>
      </c>
      <c r="I33" s="78"/>
      <c r="J33" s="49">
        <v>0.78</v>
      </c>
      <c r="K33" s="49">
        <v>0.77</v>
      </c>
      <c r="M33" s="1" t="s">
        <v>2220</v>
      </c>
      <c r="N33" s="1" t="s">
        <v>2044</v>
      </c>
      <c r="P33" s="75" t="s">
        <v>2372</v>
      </c>
      <c r="Q33" s="36" t="s">
        <v>2051</v>
      </c>
      <c r="R33" s="43"/>
      <c r="S33" s="43"/>
      <c r="T33" s="43"/>
      <c r="V33" s="1" t="s">
        <v>2405</v>
      </c>
    </row>
    <row r="34">
      <c r="A34" s="75" t="s">
        <v>2222</v>
      </c>
      <c r="B34" s="75">
        <v>2023.0</v>
      </c>
      <c r="C34" s="75" t="s">
        <v>2223</v>
      </c>
      <c r="D34" s="1" t="s">
        <v>1484</v>
      </c>
      <c r="E34" s="1" t="s">
        <v>2188</v>
      </c>
      <c r="G34" s="78"/>
      <c r="H34" s="78"/>
      <c r="I34" s="78"/>
      <c r="J34" s="78"/>
      <c r="K34" s="78"/>
      <c r="L34" s="1">
        <v>0.92</v>
      </c>
      <c r="P34" s="75" t="s">
        <v>2410</v>
      </c>
      <c r="Q34" s="77" t="s">
        <v>2225</v>
      </c>
      <c r="R34" s="43"/>
      <c r="S34" s="43"/>
      <c r="T34" s="43"/>
    </row>
    <row r="35">
      <c r="A35" s="75" t="s">
        <v>2227</v>
      </c>
      <c r="B35" s="75">
        <v>2025.0</v>
      </c>
      <c r="C35" s="75" t="s">
        <v>2228</v>
      </c>
      <c r="D35" s="1" t="s">
        <v>2229</v>
      </c>
      <c r="E35" s="1" t="s">
        <v>2167</v>
      </c>
      <c r="G35" s="49" t="s">
        <v>2230</v>
      </c>
      <c r="H35" s="49" t="s">
        <v>2231</v>
      </c>
      <c r="I35" s="78"/>
      <c r="J35" s="49" t="s">
        <v>2232</v>
      </c>
      <c r="K35" s="1" t="s">
        <v>2233</v>
      </c>
      <c r="N35" s="1" t="s">
        <v>2044</v>
      </c>
      <c r="O35" s="1" t="s">
        <v>2044</v>
      </c>
      <c r="P35" s="75" t="s">
        <v>2410</v>
      </c>
      <c r="Q35" s="36" t="s">
        <v>2234</v>
      </c>
      <c r="R35" s="43"/>
      <c r="S35" s="43"/>
      <c r="T35" s="43"/>
    </row>
    <row r="36">
      <c r="A36" s="75" t="s">
        <v>2235</v>
      </c>
      <c r="B36" s="75">
        <v>2023.0</v>
      </c>
      <c r="C36" s="75" t="s">
        <v>2236</v>
      </c>
      <c r="D36" s="1" t="s">
        <v>2419</v>
      </c>
      <c r="E36" s="1" t="s">
        <v>2420</v>
      </c>
      <c r="G36" s="49">
        <v>91.0</v>
      </c>
      <c r="H36" s="49">
        <v>90.0</v>
      </c>
      <c r="I36" s="78"/>
      <c r="J36" s="49">
        <v>99.0</v>
      </c>
      <c r="K36" s="49">
        <v>93.0</v>
      </c>
      <c r="L36" s="1">
        <v>99.0</v>
      </c>
      <c r="N36" s="1" t="s">
        <v>2044</v>
      </c>
      <c r="P36" s="75" t="s">
        <v>2410</v>
      </c>
      <c r="Q36" s="77" t="s">
        <v>2001</v>
      </c>
      <c r="R36" s="43"/>
      <c r="S36" s="43"/>
      <c r="T36" s="43"/>
    </row>
    <row r="37">
      <c r="A37" s="75" t="s">
        <v>2239</v>
      </c>
      <c r="B37" s="75">
        <v>2025.0</v>
      </c>
      <c r="C37" s="75" t="s">
        <v>2240</v>
      </c>
      <c r="D37" s="1" t="s">
        <v>2004</v>
      </c>
      <c r="E37" s="1" t="s">
        <v>2110</v>
      </c>
      <c r="G37" s="49">
        <v>98.25</v>
      </c>
      <c r="H37" s="49">
        <v>99.07</v>
      </c>
      <c r="I37" s="49">
        <v>98.41</v>
      </c>
      <c r="J37" s="49">
        <v>98.15</v>
      </c>
      <c r="K37" s="49">
        <v>98.6</v>
      </c>
      <c r="N37" s="1" t="s">
        <v>2044</v>
      </c>
      <c r="O37" s="1" t="s">
        <v>2044</v>
      </c>
      <c r="P37" s="75" t="s">
        <v>2428</v>
      </c>
      <c r="Q37" s="36" t="s">
        <v>2005</v>
      </c>
      <c r="R37" s="43"/>
      <c r="S37" s="43"/>
      <c r="T37" s="43"/>
    </row>
    <row r="38">
      <c r="A38" s="75" t="s">
        <v>2242</v>
      </c>
      <c r="B38" s="75">
        <v>2025.0</v>
      </c>
      <c r="C38" s="75" t="s">
        <v>2243</v>
      </c>
      <c r="D38" s="1" t="s">
        <v>1414</v>
      </c>
      <c r="E38" s="1" t="s">
        <v>2164</v>
      </c>
      <c r="G38" s="49">
        <v>99.62</v>
      </c>
      <c r="H38" s="49">
        <v>99.63</v>
      </c>
      <c r="I38" s="78"/>
      <c r="J38" s="49">
        <v>99.63</v>
      </c>
      <c r="K38" s="49">
        <v>99.63</v>
      </c>
      <c r="L38" s="1">
        <v>99.72</v>
      </c>
      <c r="M38" s="1" t="s">
        <v>1416</v>
      </c>
      <c r="N38" s="1" t="s">
        <v>2044</v>
      </c>
      <c r="P38" s="75" t="s">
        <v>2428</v>
      </c>
      <c r="Q38" s="77" t="s">
        <v>2001</v>
      </c>
      <c r="R38" s="43"/>
      <c r="S38" s="43"/>
      <c r="T38" s="43"/>
    </row>
    <row r="39">
      <c r="A39" s="75" t="s">
        <v>2435</v>
      </c>
      <c r="B39" s="75">
        <v>2025.0</v>
      </c>
      <c r="C39" s="75" t="s">
        <v>2245</v>
      </c>
      <c r="D39" s="1" t="s">
        <v>2079</v>
      </c>
      <c r="E39" s="1" t="s">
        <v>2192</v>
      </c>
      <c r="G39" s="49">
        <v>95.24</v>
      </c>
      <c r="H39" s="78"/>
      <c r="I39" s="78"/>
      <c r="J39" s="78"/>
      <c r="O39" s="49">
        <v>5.87</v>
      </c>
      <c r="P39" s="1" t="s">
        <v>2428</v>
      </c>
      <c r="Q39" s="36" t="s">
        <v>2001</v>
      </c>
      <c r="R39" s="43"/>
      <c r="S39" s="43"/>
      <c r="T39" s="43"/>
    </row>
    <row r="40">
      <c r="A40" s="75" t="s">
        <v>2246</v>
      </c>
      <c r="B40" s="75">
        <v>2025.0</v>
      </c>
      <c r="C40" s="75" t="s">
        <v>2247</v>
      </c>
      <c r="D40" s="1" t="s">
        <v>1414</v>
      </c>
      <c r="E40" s="1" t="s">
        <v>2164</v>
      </c>
      <c r="G40" s="49">
        <v>91.97</v>
      </c>
      <c r="H40" s="49">
        <v>90.79</v>
      </c>
      <c r="I40" s="78"/>
      <c r="J40" s="49">
        <v>93.52</v>
      </c>
      <c r="K40" s="49">
        <v>92.09</v>
      </c>
      <c r="M40" s="1" t="s">
        <v>1416</v>
      </c>
      <c r="N40" s="1" t="s">
        <v>2044</v>
      </c>
      <c r="P40" s="75" t="s">
        <v>2428</v>
      </c>
      <c r="Q40" s="77" t="s">
        <v>2001</v>
      </c>
      <c r="R40" s="43"/>
      <c r="S40" s="43"/>
      <c r="T40" s="43"/>
    </row>
    <row r="41">
      <c r="A41" s="38" t="s">
        <v>2249</v>
      </c>
      <c r="B41" s="75">
        <v>2025.0</v>
      </c>
      <c r="C41" s="75" t="s">
        <v>2250</v>
      </c>
      <c r="D41" s="1" t="s">
        <v>2251</v>
      </c>
      <c r="E41" s="1" t="s">
        <v>2446</v>
      </c>
      <c r="G41" s="49">
        <v>95.32</v>
      </c>
      <c r="H41" s="78"/>
      <c r="I41" s="78"/>
      <c r="J41" s="78"/>
      <c r="N41" s="49" t="s">
        <v>2252</v>
      </c>
      <c r="O41" s="1" t="s">
        <v>2253</v>
      </c>
      <c r="P41" s="1" t="s">
        <v>2449</v>
      </c>
      <c r="Q41" s="36" t="s">
        <v>2255</v>
      </c>
      <c r="R41" s="43"/>
      <c r="S41" s="43"/>
      <c r="T41" s="43"/>
    </row>
    <row r="42">
      <c r="A42" s="75" t="s">
        <v>2256</v>
      </c>
      <c r="B42" s="75">
        <v>2025.0</v>
      </c>
      <c r="C42" s="75" t="s">
        <v>2257</v>
      </c>
      <c r="D42" s="1" t="s">
        <v>2217</v>
      </c>
      <c r="E42" s="1" t="s">
        <v>2221</v>
      </c>
      <c r="G42" s="49">
        <v>96.47</v>
      </c>
      <c r="H42" s="49">
        <v>97.4</v>
      </c>
      <c r="I42" s="78"/>
      <c r="J42" s="49">
        <v>94.94</v>
      </c>
      <c r="K42" s="78"/>
      <c r="L42" s="1">
        <v>98.23</v>
      </c>
      <c r="M42" s="1" t="s">
        <v>2260</v>
      </c>
      <c r="N42" s="1" t="s">
        <v>2261</v>
      </c>
      <c r="O42" s="1" t="s">
        <v>2262</v>
      </c>
      <c r="P42" s="75" t="s">
        <v>2449</v>
      </c>
      <c r="Q42" s="77" t="s">
        <v>2263</v>
      </c>
      <c r="R42" s="43"/>
      <c r="S42" s="43"/>
      <c r="T42" s="43"/>
    </row>
    <row r="43">
      <c r="A43" s="75" t="s">
        <v>2264</v>
      </c>
      <c r="B43" s="75">
        <v>2025.0</v>
      </c>
      <c r="C43" s="75" t="s">
        <v>2265</v>
      </c>
      <c r="D43" s="1" t="s">
        <v>2267</v>
      </c>
      <c r="E43" s="1" t="s">
        <v>2188</v>
      </c>
      <c r="G43" s="49">
        <v>99.69</v>
      </c>
      <c r="H43" s="78"/>
      <c r="I43" s="78"/>
      <c r="J43" s="78"/>
      <c r="K43" s="78"/>
      <c r="N43" s="1" t="s">
        <v>2269</v>
      </c>
      <c r="O43" s="1" t="s">
        <v>2044</v>
      </c>
      <c r="P43" s="75" t="s">
        <v>2462</v>
      </c>
      <c r="Q43" s="36" t="s">
        <v>2146</v>
      </c>
      <c r="R43" s="43"/>
      <c r="S43" s="43"/>
      <c r="T43" s="43"/>
    </row>
    <row r="44">
      <c r="A44" s="75" t="s">
        <v>2272</v>
      </c>
      <c r="B44" s="75">
        <v>2024.0</v>
      </c>
      <c r="C44" s="75" t="s">
        <v>2274</v>
      </c>
      <c r="D44" s="1" t="s">
        <v>2276</v>
      </c>
      <c r="E44" s="1" t="s">
        <v>2465</v>
      </c>
      <c r="G44" s="49">
        <v>98.0</v>
      </c>
      <c r="H44" s="49">
        <v>98.0</v>
      </c>
      <c r="I44" s="78"/>
      <c r="J44" s="49">
        <v>98.0</v>
      </c>
      <c r="K44" s="49">
        <v>98.0</v>
      </c>
      <c r="N44" s="1" t="s">
        <v>1416</v>
      </c>
      <c r="O44" s="1" t="s">
        <v>2044</v>
      </c>
      <c r="P44" s="75" t="s">
        <v>2469</v>
      </c>
      <c r="Q44" s="36" t="s">
        <v>2005</v>
      </c>
      <c r="R44" s="43"/>
      <c r="S44" s="43"/>
      <c r="T44" s="43"/>
    </row>
    <row r="45">
      <c r="A45" s="75" t="s">
        <v>2281</v>
      </c>
      <c r="B45" s="75">
        <v>2025.0</v>
      </c>
      <c r="C45" s="75" t="s">
        <v>2282</v>
      </c>
      <c r="D45" s="1" t="s">
        <v>2284</v>
      </c>
      <c r="E45" s="1" t="s">
        <v>2167</v>
      </c>
      <c r="G45" s="49" t="s">
        <v>2285</v>
      </c>
      <c r="H45" s="49" t="s">
        <v>2287</v>
      </c>
      <c r="I45" s="49" t="s">
        <v>2288</v>
      </c>
      <c r="J45" s="49" t="s">
        <v>2289</v>
      </c>
      <c r="K45" s="49" t="s">
        <v>2290</v>
      </c>
      <c r="L45" s="1" t="s">
        <v>2291</v>
      </c>
      <c r="M45" s="1" t="s">
        <v>1416</v>
      </c>
      <c r="N45" s="1" t="s">
        <v>2044</v>
      </c>
      <c r="P45" s="75" t="s">
        <v>2469</v>
      </c>
      <c r="Q45" s="77" t="s">
        <v>2294</v>
      </c>
      <c r="R45" s="43"/>
      <c r="S45" s="43"/>
      <c r="T45" s="43"/>
    </row>
    <row r="46">
      <c r="A46" s="75" t="s">
        <v>2296</v>
      </c>
      <c r="B46" s="75">
        <v>2025.0</v>
      </c>
      <c r="C46" s="75" t="s">
        <v>2297</v>
      </c>
      <c r="D46" s="1" t="s">
        <v>2299</v>
      </c>
      <c r="E46" s="1" t="s">
        <v>2474</v>
      </c>
      <c r="F46" s="1" t="s">
        <v>2302</v>
      </c>
      <c r="G46" s="49" t="s">
        <v>2303</v>
      </c>
      <c r="H46" s="78"/>
      <c r="I46" s="49" t="s">
        <v>2304</v>
      </c>
      <c r="J46" s="78"/>
      <c r="K46" s="78"/>
      <c r="L46" s="1" t="s">
        <v>2307</v>
      </c>
      <c r="M46" s="1" t="s">
        <v>1416</v>
      </c>
      <c r="N46" s="1" t="s">
        <v>2044</v>
      </c>
      <c r="P46" s="75" t="s">
        <v>2475</v>
      </c>
      <c r="Q46" s="77" t="s">
        <v>2101</v>
      </c>
      <c r="R46" s="36" t="s">
        <v>2476</v>
      </c>
      <c r="S46" s="36" t="s">
        <v>2096</v>
      </c>
      <c r="T46" s="36" t="s">
        <v>2477</v>
      </c>
    </row>
    <row r="47">
      <c r="A47" s="1" t="s">
        <v>2311</v>
      </c>
      <c r="B47" s="75">
        <v>2026.0</v>
      </c>
      <c r="C47" s="75" t="s">
        <v>2312</v>
      </c>
      <c r="D47" s="1" t="s">
        <v>2313</v>
      </c>
      <c r="E47" s="1" t="s">
        <v>2478</v>
      </c>
      <c r="G47" s="49" t="s">
        <v>2315</v>
      </c>
      <c r="H47" s="49" t="s">
        <v>2318</v>
      </c>
      <c r="I47" s="78"/>
      <c r="J47" s="49" t="s">
        <v>2319</v>
      </c>
      <c r="K47" s="49" t="s">
        <v>2320</v>
      </c>
      <c r="M47" s="1" t="s">
        <v>2322</v>
      </c>
      <c r="N47" s="1" t="s">
        <v>2323</v>
      </c>
      <c r="O47" s="1">
        <v>0.0116</v>
      </c>
      <c r="P47" s="75" t="s">
        <v>2479</v>
      </c>
      <c r="Q47" s="77" t="s">
        <v>2326</v>
      </c>
      <c r="R47" s="43"/>
      <c r="S47" s="43"/>
      <c r="T47" s="43"/>
    </row>
    <row r="48">
      <c r="A48" s="75" t="s">
        <v>2327</v>
      </c>
      <c r="B48" s="75">
        <v>2025.0</v>
      </c>
      <c r="C48" s="75" t="s">
        <v>2330</v>
      </c>
      <c r="D48" s="1" t="s">
        <v>2332</v>
      </c>
      <c r="E48" s="1" t="s">
        <v>2150</v>
      </c>
      <c r="G48" s="49" t="s">
        <v>2333</v>
      </c>
      <c r="H48" s="80" t="s">
        <v>2334</v>
      </c>
      <c r="I48" s="78"/>
      <c r="J48" s="80" t="s">
        <v>2336</v>
      </c>
      <c r="K48" s="49" t="s">
        <v>2337</v>
      </c>
      <c r="L48" s="1" t="s">
        <v>2340</v>
      </c>
      <c r="M48" s="1" t="s">
        <v>1416</v>
      </c>
      <c r="N48" s="1" t="s">
        <v>2044</v>
      </c>
      <c r="P48" s="75" t="s">
        <v>2480</v>
      </c>
      <c r="Q48" s="77" t="s">
        <v>2343</v>
      </c>
      <c r="R48" s="43"/>
      <c r="S48" s="43"/>
      <c r="T48" s="43"/>
      <c r="U48" s="1" t="s">
        <v>2098</v>
      </c>
    </row>
    <row r="49">
      <c r="A49" s="1" t="s">
        <v>2345</v>
      </c>
      <c r="B49" s="75">
        <v>2024.0</v>
      </c>
      <c r="C49" s="75" t="s">
        <v>2347</v>
      </c>
      <c r="D49" s="1" t="s">
        <v>2226</v>
      </c>
      <c r="E49" s="1" t="s">
        <v>2188</v>
      </c>
      <c r="G49" s="49">
        <v>98.25</v>
      </c>
      <c r="H49" s="49">
        <v>98.99</v>
      </c>
      <c r="I49" s="49">
        <v>98.995</v>
      </c>
      <c r="J49" s="49">
        <v>97.51</v>
      </c>
      <c r="K49" s="49">
        <v>98.25</v>
      </c>
      <c r="N49" s="1" t="s">
        <v>1416</v>
      </c>
      <c r="O49" s="1" t="s">
        <v>2044</v>
      </c>
      <c r="P49" s="75" t="s">
        <v>2483</v>
      </c>
      <c r="Q49" s="36" t="s">
        <v>2001</v>
      </c>
      <c r="R49" s="43"/>
      <c r="S49" s="43"/>
      <c r="T49" s="43"/>
    </row>
    <row r="50">
      <c r="A50" s="75" t="s">
        <v>2352</v>
      </c>
      <c r="B50" s="75">
        <v>2025.0</v>
      </c>
      <c r="C50" s="75" t="s">
        <v>2354</v>
      </c>
      <c r="D50" s="1" t="s">
        <v>2355</v>
      </c>
      <c r="E50" s="1" t="s">
        <v>2271</v>
      </c>
      <c r="G50" s="49" t="s">
        <v>2356</v>
      </c>
      <c r="H50" s="49" t="s">
        <v>2357</v>
      </c>
      <c r="I50" s="49" t="s">
        <v>2184</v>
      </c>
      <c r="J50" s="49" t="s">
        <v>2359</v>
      </c>
      <c r="K50" s="49" t="s">
        <v>2361</v>
      </c>
      <c r="M50" s="1" t="s">
        <v>2362</v>
      </c>
      <c r="N50" s="1" t="s">
        <v>2363</v>
      </c>
      <c r="O50" s="1">
        <v>0.002</v>
      </c>
      <c r="P50" s="75" t="s">
        <v>2485</v>
      </c>
      <c r="Q50" s="77" t="s">
        <v>2366</v>
      </c>
      <c r="R50" s="43"/>
      <c r="S50" s="43"/>
      <c r="T50" s="43"/>
    </row>
    <row r="51">
      <c r="A51" s="75" t="s">
        <v>1481</v>
      </c>
      <c r="B51" s="75">
        <v>2020.0</v>
      </c>
      <c r="C51" s="75" t="s">
        <v>2369</v>
      </c>
      <c r="D51" s="1" t="s">
        <v>1484</v>
      </c>
      <c r="E51" s="1" t="s">
        <v>2188</v>
      </c>
      <c r="F51" s="1">
        <v>140.0</v>
      </c>
      <c r="G51" s="78"/>
      <c r="H51" s="78"/>
      <c r="I51" s="78"/>
      <c r="J51" s="78"/>
      <c r="K51" s="78"/>
      <c r="L51" s="1">
        <v>0.9189</v>
      </c>
      <c r="M51" s="1" t="s">
        <v>2373</v>
      </c>
      <c r="N51" s="1" t="s">
        <v>2375</v>
      </c>
      <c r="P51" s="75" t="s">
        <v>2487</v>
      </c>
      <c r="Q51" s="77" t="s">
        <v>2378</v>
      </c>
      <c r="R51" s="43"/>
      <c r="S51" s="43"/>
      <c r="T51" s="43"/>
    </row>
    <row r="52">
      <c r="A52" s="75" t="s">
        <v>2346</v>
      </c>
      <c r="B52" s="75">
        <v>2024.0</v>
      </c>
      <c r="C52" s="75" t="s">
        <v>2380</v>
      </c>
      <c r="D52" s="1" t="s">
        <v>2381</v>
      </c>
      <c r="E52" s="1" t="s">
        <v>2478</v>
      </c>
      <c r="G52" s="49" t="s">
        <v>2384</v>
      </c>
      <c r="H52" s="49" t="s">
        <v>2385</v>
      </c>
      <c r="I52" s="78"/>
      <c r="J52" s="49" t="s">
        <v>2387</v>
      </c>
      <c r="K52" s="49" t="s">
        <v>2385</v>
      </c>
      <c r="M52" s="1">
        <v>1837.0</v>
      </c>
      <c r="N52" s="1" t="s">
        <v>2389</v>
      </c>
      <c r="O52" s="1" t="s">
        <v>2390</v>
      </c>
      <c r="P52" s="75" t="s">
        <v>2489</v>
      </c>
      <c r="Q52" s="77" t="s">
        <v>2090</v>
      </c>
      <c r="R52" s="36" t="s">
        <v>2476</v>
      </c>
      <c r="S52" s="36" t="s">
        <v>2096</v>
      </c>
      <c r="T52" s="36" t="s">
        <v>2490</v>
      </c>
    </row>
    <row r="53">
      <c r="A53" s="1" t="s">
        <v>2491</v>
      </c>
      <c r="B53" s="1">
        <v>2025.0</v>
      </c>
      <c r="C53" s="1" t="s">
        <v>2492</v>
      </c>
      <c r="D53" s="1" t="s">
        <v>2004</v>
      </c>
      <c r="E53" s="1" t="s">
        <v>2493</v>
      </c>
      <c r="F53" s="1">
        <v>0.5</v>
      </c>
      <c r="G53" s="1">
        <v>99.3</v>
      </c>
      <c r="H53" s="86"/>
      <c r="J53" s="86"/>
      <c r="M53" s="1" t="s">
        <v>2494</v>
      </c>
      <c r="N53" s="1" t="s">
        <v>2496</v>
      </c>
      <c r="O53" s="1">
        <v>0.5</v>
      </c>
      <c r="P53" s="1" t="s">
        <v>1539</v>
      </c>
      <c r="Q53" s="1" t="s">
        <v>2497</v>
      </c>
      <c r="R53" s="36"/>
      <c r="S53" s="36" t="s">
        <v>2498</v>
      </c>
      <c r="T53" s="36" t="s">
        <v>2499</v>
      </c>
      <c r="U53" s="1" t="s">
        <v>2500</v>
      </c>
      <c r="V53" s="1" t="s">
        <v>2501</v>
      </c>
    </row>
    <row r="54">
      <c r="R54" s="43"/>
      <c r="S54" s="43"/>
      <c r="T54" s="43"/>
    </row>
    <row r="55">
      <c r="R55" s="43"/>
      <c r="S55" s="43"/>
      <c r="T55" s="43"/>
    </row>
    <row r="56">
      <c r="R56" s="43"/>
      <c r="S56" s="43"/>
      <c r="T56" s="43"/>
    </row>
    <row r="57">
      <c r="R57" s="43"/>
      <c r="S57" s="43"/>
      <c r="T57" s="43"/>
    </row>
    <row r="58">
      <c r="R58" s="43"/>
      <c r="S58" s="43"/>
      <c r="T58" s="43"/>
    </row>
    <row r="59">
      <c r="R59" s="43"/>
      <c r="S59" s="43"/>
      <c r="T59" s="43"/>
    </row>
    <row r="60">
      <c r="R60" s="43"/>
      <c r="S60" s="43"/>
      <c r="T60" s="43"/>
    </row>
    <row r="61">
      <c r="R61" s="43"/>
      <c r="S61" s="43"/>
      <c r="T61" s="43"/>
    </row>
    <row r="62">
      <c r="R62" s="43"/>
      <c r="S62" s="43"/>
      <c r="T62" s="43"/>
    </row>
    <row r="63">
      <c r="R63" s="43"/>
      <c r="S63" s="43"/>
      <c r="T63" s="43"/>
    </row>
    <row r="64">
      <c r="R64" s="43"/>
      <c r="S64" s="43"/>
      <c r="T64" s="43"/>
    </row>
    <row r="65">
      <c r="R65" s="43"/>
      <c r="S65" s="43"/>
      <c r="T65" s="43"/>
    </row>
    <row r="66">
      <c r="R66" s="43"/>
      <c r="S66" s="43"/>
      <c r="T66" s="43"/>
    </row>
    <row r="67">
      <c r="R67" s="43"/>
      <c r="S67" s="43"/>
      <c r="T67" s="43"/>
    </row>
    <row r="68">
      <c r="R68" s="43"/>
      <c r="S68" s="43"/>
      <c r="T68" s="43"/>
    </row>
    <row r="69">
      <c r="R69" s="43"/>
      <c r="S69" s="43"/>
      <c r="T69" s="43"/>
    </row>
    <row r="70">
      <c r="R70" s="43"/>
      <c r="S70" s="43"/>
      <c r="T70" s="43"/>
    </row>
    <row r="71">
      <c r="R71" s="43"/>
      <c r="S71" s="43"/>
      <c r="T71" s="43"/>
    </row>
    <row r="72">
      <c r="R72" s="43"/>
      <c r="S72" s="43"/>
      <c r="T72" s="43"/>
    </row>
    <row r="73">
      <c r="R73" s="43"/>
      <c r="S73" s="43"/>
      <c r="T73" s="43"/>
    </row>
    <row r="74">
      <c r="R74" s="43"/>
      <c r="S74" s="43"/>
      <c r="T74" s="43"/>
    </row>
    <row r="75">
      <c r="R75" s="43"/>
      <c r="S75" s="43"/>
      <c r="T75" s="43"/>
    </row>
    <row r="76">
      <c r="R76" s="43"/>
      <c r="S76" s="43"/>
      <c r="T76" s="43"/>
    </row>
    <row r="77">
      <c r="R77" s="43"/>
      <c r="S77" s="43"/>
      <c r="T77" s="43"/>
    </row>
    <row r="78">
      <c r="R78" s="43"/>
      <c r="S78" s="43"/>
      <c r="T78" s="43"/>
    </row>
    <row r="79">
      <c r="R79" s="43"/>
      <c r="S79" s="43"/>
      <c r="T79" s="43"/>
    </row>
    <row r="80">
      <c r="R80" s="43"/>
      <c r="S80" s="43"/>
      <c r="T80" s="43"/>
    </row>
    <row r="81">
      <c r="R81" s="43"/>
      <c r="S81" s="43"/>
      <c r="T81" s="43"/>
    </row>
    <row r="82">
      <c r="R82" s="43"/>
      <c r="S82" s="43"/>
      <c r="T82" s="43"/>
    </row>
    <row r="83">
      <c r="R83" s="43"/>
      <c r="S83" s="43"/>
      <c r="T83" s="43"/>
    </row>
    <row r="84">
      <c r="R84" s="43"/>
      <c r="S84" s="43"/>
      <c r="T84" s="43"/>
    </row>
    <row r="85">
      <c r="R85" s="43"/>
      <c r="S85" s="43"/>
      <c r="T85" s="43"/>
    </row>
    <row r="86">
      <c r="R86" s="43"/>
      <c r="S86" s="43"/>
      <c r="T86" s="43"/>
    </row>
    <row r="87">
      <c r="R87" s="43"/>
      <c r="S87" s="43"/>
      <c r="T87" s="43"/>
    </row>
    <row r="88">
      <c r="R88" s="43"/>
      <c r="S88" s="43"/>
      <c r="T88" s="43"/>
    </row>
    <row r="89">
      <c r="R89" s="43"/>
      <c r="S89" s="43"/>
      <c r="T89" s="43"/>
    </row>
    <row r="90">
      <c r="R90" s="43"/>
      <c r="S90" s="43"/>
      <c r="T90" s="43"/>
    </row>
    <row r="91">
      <c r="R91" s="43"/>
      <c r="S91" s="43"/>
      <c r="T91" s="43"/>
    </row>
    <row r="92">
      <c r="R92" s="43"/>
      <c r="S92" s="43"/>
      <c r="T92" s="43"/>
    </row>
    <row r="93">
      <c r="R93" s="43"/>
      <c r="S93" s="43"/>
      <c r="T93" s="43"/>
    </row>
    <row r="94">
      <c r="R94" s="43"/>
      <c r="S94" s="43"/>
      <c r="T94" s="43"/>
    </row>
    <row r="95">
      <c r="R95" s="43"/>
      <c r="S95" s="43"/>
      <c r="T95" s="43"/>
    </row>
    <row r="96">
      <c r="R96" s="43"/>
      <c r="S96" s="43"/>
      <c r="T96" s="43"/>
    </row>
    <row r="97">
      <c r="R97" s="43"/>
      <c r="S97" s="43"/>
      <c r="T97" s="43"/>
    </row>
    <row r="98">
      <c r="R98" s="43"/>
      <c r="S98" s="43"/>
      <c r="T98" s="43"/>
    </row>
    <row r="99">
      <c r="R99" s="43"/>
      <c r="S99" s="43"/>
      <c r="T99" s="43"/>
    </row>
    <row r="100">
      <c r="R100" s="43"/>
      <c r="S100" s="43"/>
      <c r="T100" s="43"/>
    </row>
    <row r="101">
      <c r="R101" s="43"/>
      <c r="S101" s="43"/>
      <c r="T101" s="43"/>
    </row>
    <row r="102">
      <c r="R102" s="43"/>
      <c r="S102" s="43"/>
      <c r="T102" s="43"/>
    </row>
    <row r="103">
      <c r="R103" s="43"/>
      <c r="S103" s="43"/>
      <c r="T103" s="43"/>
    </row>
    <row r="104">
      <c r="R104" s="43"/>
      <c r="S104" s="43"/>
      <c r="T104" s="43"/>
    </row>
    <row r="105">
      <c r="R105" s="43"/>
      <c r="S105" s="43"/>
      <c r="T105" s="43"/>
    </row>
    <row r="106">
      <c r="R106" s="43"/>
      <c r="S106" s="43"/>
      <c r="T106" s="43"/>
    </row>
    <row r="107">
      <c r="R107" s="43"/>
      <c r="S107" s="43"/>
      <c r="T107" s="43"/>
    </row>
    <row r="108">
      <c r="R108" s="43"/>
      <c r="S108" s="43"/>
      <c r="T108" s="43"/>
    </row>
    <row r="109">
      <c r="R109" s="43"/>
      <c r="S109" s="43"/>
      <c r="T109" s="43"/>
    </row>
    <row r="110">
      <c r="R110" s="43"/>
      <c r="S110" s="43"/>
      <c r="T110" s="43"/>
    </row>
    <row r="111">
      <c r="R111" s="43"/>
      <c r="S111" s="43"/>
      <c r="T111" s="43"/>
    </row>
    <row r="112">
      <c r="R112" s="43"/>
      <c r="S112" s="43"/>
      <c r="T112" s="43"/>
    </row>
    <row r="113">
      <c r="R113" s="43"/>
      <c r="S113" s="43"/>
      <c r="T113" s="43"/>
    </row>
    <row r="114">
      <c r="R114" s="43"/>
      <c r="S114" s="43"/>
      <c r="T114" s="43"/>
    </row>
    <row r="115">
      <c r="R115" s="43"/>
      <c r="S115" s="43"/>
      <c r="T115" s="43"/>
    </row>
    <row r="116">
      <c r="R116" s="43"/>
      <c r="S116" s="43"/>
      <c r="T116" s="43"/>
    </row>
    <row r="117">
      <c r="R117" s="43"/>
      <c r="S117" s="43"/>
      <c r="T117" s="43"/>
    </row>
    <row r="118">
      <c r="R118" s="43"/>
      <c r="S118" s="43"/>
      <c r="T118" s="43"/>
    </row>
    <row r="119">
      <c r="R119" s="43"/>
      <c r="S119" s="43"/>
      <c r="T119" s="43"/>
    </row>
    <row r="120">
      <c r="R120" s="43"/>
      <c r="S120" s="43"/>
      <c r="T120" s="43"/>
    </row>
    <row r="121">
      <c r="R121" s="43"/>
      <c r="S121" s="43"/>
      <c r="T121" s="43"/>
    </row>
    <row r="122">
      <c r="R122" s="43"/>
      <c r="S122" s="43"/>
      <c r="T122" s="43"/>
    </row>
    <row r="123">
      <c r="R123" s="43"/>
      <c r="S123" s="43"/>
      <c r="T123" s="43"/>
    </row>
    <row r="124">
      <c r="R124" s="43"/>
      <c r="S124" s="43"/>
      <c r="T124" s="43"/>
    </row>
    <row r="125">
      <c r="R125" s="43"/>
      <c r="S125" s="43"/>
      <c r="T125" s="43"/>
    </row>
    <row r="126">
      <c r="R126" s="43"/>
      <c r="S126" s="43"/>
      <c r="T126" s="43"/>
    </row>
    <row r="127">
      <c r="R127" s="43"/>
      <c r="S127" s="43"/>
      <c r="T127" s="43"/>
    </row>
    <row r="128">
      <c r="R128" s="43"/>
      <c r="S128" s="43"/>
      <c r="T128" s="43"/>
    </row>
    <row r="129">
      <c r="R129" s="43"/>
      <c r="S129" s="43"/>
      <c r="T129" s="43"/>
    </row>
    <row r="130">
      <c r="R130" s="43"/>
      <c r="S130" s="43"/>
      <c r="T130" s="43"/>
    </row>
    <row r="131">
      <c r="R131" s="43"/>
      <c r="S131" s="43"/>
      <c r="T131" s="43"/>
    </row>
    <row r="132">
      <c r="R132" s="43"/>
      <c r="S132" s="43"/>
      <c r="T132" s="43"/>
    </row>
    <row r="133">
      <c r="R133" s="43"/>
      <c r="S133" s="43"/>
      <c r="T133" s="43"/>
    </row>
    <row r="134">
      <c r="R134" s="43"/>
      <c r="S134" s="43"/>
      <c r="T134" s="43"/>
    </row>
    <row r="135">
      <c r="R135" s="43"/>
      <c r="S135" s="43"/>
      <c r="T135" s="43"/>
    </row>
    <row r="136">
      <c r="R136" s="43"/>
      <c r="S136" s="43"/>
      <c r="T136" s="43"/>
    </row>
    <row r="137">
      <c r="R137" s="43"/>
      <c r="S137" s="43"/>
      <c r="T137" s="43"/>
    </row>
    <row r="138">
      <c r="R138" s="43"/>
      <c r="S138" s="43"/>
      <c r="T138" s="43"/>
    </row>
    <row r="139">
      <c r="R139" s="43"/>
      <c r="S139" s="43"/>
      <c r="T139" s="43"/>
    </row>
    <row r="140">
      <c r="R140" s="43"/>
      <c r="S140" s="43"/>
      <c r="T140" s="43"/>
    </row>
    <row r="141">
      <c r="R141" s="43"/>
      <c r="S141" s="43"/>
      <c r="T141" s="43"/>
    </row>
    <row r="142">
      <c r="R142" s="43"/>
      <c r="S142" s="43"/>
      <c r="T142" s="43"/>
    </row>
    <row r="143">
      <c r="R143" s="43"/>
      <c r="S143" s="43"/>
      <c r="T143" s="43"/>
    </row>
    <row r="144">
      <c r="R144" s="43"/>
      <c r="S144" s="43"/>
      <c r="T144" s="43"/>
    </row>
    <row r="145">
      <c r="R145" s="43"/>
      <c r="S145" s="43"/>
      <c r="T145" s="43"/>
    </row>
    <row r="146">
      <c r="R146" s="43"/>
      <c r="S146" s="43"/>
      <c r="T146" s="43"/>
    </row>
    <row r="147">
      <c r="R147" s="43"/>
      <c r="S147" s="43"/>
      <c r="T147" s="43"/>
    </row>
    <row r="148">
      <c r="R148" s="43"/>
      <c r="S148" s="43"/>
      <c r="T148" s="43"/>
    </row>
    <row r="149">
      <c r="R149" s="43"/>
      <c r="S149" s="43"/>
      <c r="T149" s="43"/>
    </row>
    <row r="150">
      <c r="R150" s="43"/>
      <c r="S150" s="43"/>
      <c r="T150" s="43"/>
    </row>
    <row r="151">
      <c r="R151" s="43"/>
      <c r="S151" s="43"/>
      <c r="T151" s="43"/>
    </row>
    <row r="152">
      <c r="R152" s="43"/>
      <c r="S152" s="43"/>
      <c r="T152" s="43"/>
    </row>
    <row r="153">
      <c r="R153" s="43"/>
      <c r="S153" s="43"/>
      <c r="T153" s="43"/>
    </row>
    <row r="154">
      <c r="R154" s="43"/>
      <c r="S154" s="43"/>
      <c r="T154" s="43"/>
    </row>
    <row r="155">
      <c r="R155" s="43"/>
      <c r="S155" s="43"/>
      <c r="T155" s="43"/>
    </row>
    <row r="156">
      <c r="R156" s="43"/>
      <c r="S156" s="43"/>
      <c r="T156" s="43"/>
    </row>
    <row r="157">
      <c r="R157" s="43"/>
      <c r="S157" s="43"/>
      <c r="T157" s="43"/>
    </row>
    <row r="158">
      <c r="R158" s="43"/>
      <c r="S158" s="43"/>
      <c r="T158" s="43"/>
    </row>
    <row r="159">
      <c r="R159" s="43"/>
      <c r="S159" s="43"/>
      <c r="T159" s="43"/>
    </row>
    <row r="160">
      <c r="R160" s="43"/>
      <c r="S160" s="43"/>
      <c r="T160" s="43"/>
    </row>
    <row r="161">
      <c r="R161" s="43"/>
      <c r="S161" s="43"/>
      <c r="T161" s="43"/>
    </row>
    <row r="162">
      <c r="R162" s="43"/>
      <c r="S162" s="43"/>
      <c r="T162" s="43"/>
    </row>
    <row r="163">
      <c r="R163" s="43"/>
      <c r="S163" s="43"/>
      <c r="T163" s="43"/>
    </row>
    <row r="164">
      <c r="R164" s="43"/>
      <c r="S164" s="43"/>
      <c r="T164" s="43"/>
    </row>
    <row r="165">
      <c r="R165" s="43"/>
      <c r="S165" s="43"/>
      <c r="T165" s="43"/>
    </row>
    <row r="166">
      <c r="R166" s="43"/>
      <c r="S166" s="43"/>
      <c r="T166" s="43"/>
    </row>
    <row r="167">
      <c r="R167" s="43"/>
      <c r="S167" s="43"/>
      <c r="T167" s="43"/>
    </row>
    <row r="168">
      <c r="R168" s="43"/>
      <c r="S168" s="43"/>
      <c r="T168" s="43"/>
    </row>
    <row r="169">
      <c r="R169" s="43"/>
      <c r="S169" s="43"/>
      <c r="T169" s="43"/>
    </row>
    <row r="170">
      <c r="R170" s="43"/>
      <c r="S170" s="43"/>
      <c r="T170" s="43"/>
    </row>
    <row r="171">
      <c r="R171" s="43"/>
      <c r="S171" s="43"/>
      <c r="T171" s="43"/>
    </row>
    <row r="172">
      <c r="R172" s="43"/>
      <c r="S172" s="43"/>
      <c r="T172" s="43"/>
    </row>
    <row r="173">
      <c r="R173" s="43"/>
      <c r="S173" s="43"/>
      <c r="T173" s="43"/>
    </row>
    <row r="174">
      <c r="R174" s="43"/>
      <c r="S174" s="43"/>
      <c r="T174" s="43"/>
    </row>
    <row r="175">
      <c r="R175" s="43"/>
      <c r="S175" s="43"/>
      <c r="T175" s="43"/>
    </row>
    <row r="176">
      <c r="R176" s="43"/>
      <c r="S176" s="43"/>
      <c r="T176" s="43"/>
    </row>
    <row r="177">
      <c r="R177" s="43"/>
      <c r="S177" s="43"/>
      <c r="T177" s="43"/>
    </row>
    <row r="178">
      <c r="R178" s="43"/>
      <c r="S178" s="43"/>
      <c r="T178" s="43"/>
    </row>
    <row r="179">
      <c r="R179" s="43"/>
      <c r="S179" s="43"/>
      <c r="T179" s="43"/>
    </row>
    <row r="180">
      <c r="R180" s="43"/>
      <c r="S180" s="43"/>
      <c r="T180" s="43"/>
    </row>
    <row r="181">
      <c r="R181" s="43"/>
      <c r="S181" s="43"/>
      <c r="T181" s="43"/>
    </row>
    <row r="182">
      <c r="R182" s="43"/>
      <c r="S182" s="43"/>
      <c r="T182" s="43"/>
    </row>
    <row r="183">
      <c r="R183" s="43"/>
      <c r="S183" s="43"/>
      <c r="T183" s="43"/>
    </row>
    <row r="184">
      <c r="R184" s="43"/>
      <c r="S184" s="43"/>
      <c r="T184" s="43"/>
    </row>
    <row r="185">
      <c r="R185" s="43"/>
      <c r="S185" s="43"/>
      <c r="T185" s="43"/>
    </row>
    <row r="186">
      <c r="R186" s="43"/>
      <c r="S186" s="43"/>
      <c r="T186" s="43"/>
    </row>
    <row r="187">
      <c r="R187" s="43"/>
      <c r="S187" s="43"/>
      <c r="T187" s="43"/>
    </row>
    <row r="188">
      <c r="R188" s="43"/>
      <c r="S188" s="43"/>
      <c r="T188" s="43"/>
    </row>
    <row r="189">
      <c r="R189" s="43"/>
      <c r="S189" s="43"/>
      <c r="T189" s="43"/>
    </row>
    <row r="190">
      <c r="R190" s="43"/>
      <c r="S190" s="43"/>
      <c r="T190" s="43"/>
    </row>
    <row r="191">
      <c r="R191" s="43"/>
      <c r="S191" s="43"/>
      <c r="T191" s="43"/>
    </row>
    <row r="192">
      <c r="R192" s="43"/>
      <c r="S192" s="43"/>
      <c r="T192" s="43"/>
    </row>
    <row r="193">
      <c r="R193" s="43"/>
      <c r="S193" s="43"/>
      <c r="T193" s="43"/>
    </row>
    <row r="194">
      <c r="R194" s="43"/>
      <c r="S194" s="43"/>
      <c r="T194" s="43"/>
    </row>
    <row r="195">
      <c r="R195" s="43"/>
      <c r="S195" s="43"/>
      <c r="T195" s="43"/>
    </row>
    <row r="196">
      <c r="R196" s="43"/>
      <c r="S196" s="43"/>
      <c r="T196" s="43"/>
    </row>
    <row r="197">
      <c r="R197" s="43"/>
      <c r="S197" s="43"/>
      <c r="T197" s="43"/>
    </row>
    <row r="198">
      <c r="R198" s="43"/>
      <c r="S198" s="43"/>
      <c r="T198" s="43"/>
    </row>
    <row r="199">
      <c r="R199" s="43"/>
      <c r="S199" s="43"/>
      <c r="T199" s="43"/>
    </row>
    <row r="200">
      <c r="R200" s="43"/>
      <c r="S200" s="43"/>
      <c r="T200" s="43"/>
    </row>
    <row r="201">
      <c r="R201" s="43"/>
      <c r="S201" s="43"/>
      <c r="T201" s="43"/>
    </row>
    <row r="202">
      <c r="R202" s="43"/>
      <c r="S202" s="43"/>
      <c r="T202" s="43"/>
    </row>
    <row r="203">
      <c r="R203" s="43"/>
      <c r="S203" s="43"/>
      <c r="T203" s="43"/>
    </row>
    <row r="204">
      <c r="R204" s="43"/>
      <c r="S204" s="43"/>
      <c r="T204" s="43"/>
    </row>
    <row r="205">
      <c r="R205" s="43"/>
      <c r="S205" s="43"/>
      <c r="T205" s="43"/>
    </row>
    <row r="206">
      <c r="R206" s="43"/>
      <c r="S206" s="43"/>
      <c r="T206" s="43"/>
    </row>
    <row r="207">
      <c r="R207" s="43"/>
      <c r="S207" s="43"/>
      <c r="T207" s="43"/>
    </row>
    <row r="208">
      <c r="R208" s="43"/>
      <c r="S208" s="43"/>
      <c r="T208" s="43"/>
    </row>
    <row r="209">
      <c r="R209" s="43"/>
      <c r="S209" s="43"/>
      <c r="T209" s="43"/>
    </row>
    <row r="210">
      <c r="R210" s="43"/>
      <c r="S210" s="43"/>
      <c r="T210" s="43"/>
    </row>
    <row r="211">
      <c r="R211" s="43"/>
      <c r="S211" s="43"/>
      <c r="T211" s="43"/>
    </row>
    <row r="212">
      <c r="R212" s="43"/>
      <c r="S212" s="43"/>
      <c r="T212" s="43"/>
    </row>
    <row r="213">
      <c r="R213" s="43"/>
      <c r="S213" s="43"/>
      <c r="T213" s="43"/>
    </row>
    <row r="214">
      <c r="R214" s="43"/>
      <c r="S214" s="43"/>
      <c r="T214" s="43"/>
    </row>
    <row r="215">
      <c r="R215" s="43"/>
      <c r="S215" s="43"/>
      <c r="T215" s="43"/>
    </row>
    <row r="216">
      <c r="R216" s="43"/>
      <c r="S216" s="43"/>
      <c r="T216" s="43"/>
    </row>
    <row r="217">
      <c r="R217" s="43"/>
      <c r="S217" s="43"/>
      <c r="T217" s="43"/>
    </row>
    <row r="218">
      <c r="R218" s="43"/>
      <c r="S218" s="43"/>
      <c r="T218" s="43"/>
    </row>
    <row r="219">
      <c r="R219" s="43"/>
      <c r="S219" s="43"/>
      <c r="T219" s="43"/>
    </row>
    <row r="220">
      <c r="R220" s="43"/>
      <c r="S220" s="43"/>
      <c r="T220" s="43"/>
    </row>
    <row r="221">
      <c r="R221" s="43"/>
      <c r="S221" s="43"/>
      <c r="T221" s="43"/>
    </row>
    <row r="222">
      <c r="R222" s="43"/>
      <c r="S222" s="43"/>
      <c r="T222" s="43"/>
    </row>
    <row r="223">
      <c r="R223" s="43"/>
      <c r="S223" s="43"/>
      <c r="T223" s="43"/>
    </row>
    <row r="224">
      <c r="R224" s="43"/>
      <c r="S224" s="43"/>
      <c r="T224" s="43"/>
    </row>
    <row r="225">
      <c r="R225" s="43"/>
      <c r="S225" s="43"/>
      <c r="T225" s="43"/>
    </row>
    <row r="226">
      <c r="R226" s="43"/>
      <c r="S226" s="43"/>
      <c r="T226" s="43"/>
    </row>
    <row r="227">
      <c r="R227" s="43"/>
      <c r="S227" s="43"/>
      <c r="T227" s="43"/>
    </row>
    <row r="228">
      <c r="R228" s="43"/>
      <c r="S228" s="43"/>
      <c r="T228" s="43"/>
    </row>
    <row r="229">
      <c r="R229" s="43"/>
      <c r="S229" s="43"/>
      <c r="T229" s="43"/>
    </row>
    <row r="230">
      <c r="R230" s="43"/>
      <c r="S230" s="43"/>
      <c r="T230" s="43"/>
    </row>
    <row r="231">
      <c r="R231" s="43"/>
      <c r="S231" s="43"/>
      <c r="T231" s="43"/>
    </row>
    <row r="232">
      <c r="R232" s="43"/>
      <c r="S232" s="43"/>
      <c r="T232" s="43"/>
    </row>
    <row r="233">
      <c r="R233" s="43"/>
      <c r="S233" s="43"/>
      <c r="T233" s="43"/>
    </row>
    <row r="234">
      <c r="R234" s="43"/>
      <c r="S234" s="43"/>
      <c r="T234" s="43"/>
    </row>
    <row r="235">
      <c r="R235" s="43"/>
      <c r="S235" s="43"/>
      <c r="T235" s="43"/>
    </row>
    <row r="236">
      <c r="R236" s="43"/>
      <c r="S236" s="43"/>
      <c r="T236" s="43"/>
    </row>
    <row r="237">
      <c r="R237" s="43"/>
      <c r="S237" s="43"/>
      <c r="T237" s="43"/>
    </row>
    <row r="238">
      <c r="R238" s="43"/>
      <c r="S238" s="43"/>
      <c r="T238" s="43"/>
    </row>
    <row r="239">
      <c r="R239" s="43"/>
      <c r="S239" s="43"/>
      <c r="T239" s="43"/>
    </row>
    <row r="240">
      <c r="R240" s="43"/>
      <c r="S240" s="43"/>
      <c r="T240" s="43"/>
    </row>
    <row r="241">
      <c r="R241" s="43"/>
      <c r="S241" s="43"/>
      <c r="T241" s="43"/>
    </row>
    <row r="242">
      <c r="R242" s="43"/>
      <c r="S242" s="43"/>
      <c r="T242" s="43"/>
    </row>
    <row r="243">
      <c r="R243" s="43"/>
      <c r="S243" s="43"/>
      <c r="T243" s="43"/>
    </row>
    <row r="244">
      <c r="R244" s="43"/>
      <c r="S244" s="43"/>
      <c r="T244" s="43"/>
    </row>
    <row r="245">
      <c r="R245" s="43"/>
      <c r="S245" s="43"/>
      <c r="T245" s="43"/>
    </row>
    <row r="246">
      <c r="R246" s="43"/>
      <c r="S246" s="43"/>
      <c r="T246" s="43"/>
    </row>
    <row r="247">
      <c r="R247" s="43"/>
      <c r="S247" s="43"/>
      <c r="T247" s="43"/>
    </row>
    <row r="248">
      <c r="R248" s="43"/>
      <c r="S248" s="43"/>
      <c r="T248" s="43"/>
    </row>
    <row r="249">
      <c r="R249" s="43"/>
      <c r="S249" s="43"/>
      <c r="T249" s="43"/>
    </row>
    <row r="250">
      <c r="R250" s="43"/>
      <c r="S250" s="43"/>
      <c r="T250" s="43"/>
    </row>
    <row r="251">
      <c r="R251" s="43"/>
      <c r="S251" s="43"/>
      <c r="T251" s="43"/>
    </row>
    <row r="252">
      <c r="R252" s="43"/>
      <c r="S252" s="43"/>
      <c r="T252" s="43"/>
    </row>
    <row r="253">
      <c r="R253" s="43"/>
      <c r="S253" s="43"/>
      <c r="T253" s="43"/>
    </row>
    <row r="254">
      <c r="R254" s="43"/>
      <c r="S254" s="43"/>
      <c r="T254" s="43"/>
    </row>
    <row r="255">
      <c r="R255" s="43"/>
      <c r="S255" s="43"/>
      <c r="T255" s="43"/>
    </row>
    <row r="256">
      <c r="R256" s="43"/>
      <c r="S256" s="43"/>
      <c r="T256" s="43"/>
    </row>
    <row r="257">
      <c r="R257" s="43"/>
      <c r="S257" s="43"/>
      <c r="T257" s="43"/>
    </row>
    <row r="258">
      <c r="R258" s="43"/>
      <c r="S258" s="43"/>
      <c r="T258" s="43"/>
    </row>
    <row r="259">
      <c r="R259" s="43"/>
      <c r="S259" s="43"/>
      <c r="T259" s="43"/>
    </row>
    <row r="260">
      <c r="R260" s="43"/>
      <c r="S260" s="43"/>
      <c r="T260" s="43"/>
    </row>
    <row r="261">
      <c r="R261" s="43"/>
      <c r="S261" s="43"/>
      <c r="T261" s="43"/>
    </row>
    <row r="262">
      <c r="R262" s="43"/>
      <c r="S262" s="43"/>
      <c r="T262" s="43"/>
    </row>
    <row r="263">
      <c r="R263" s="43"/>
      <c r="S263" s="43"/>
      <c r="T263" s="43"/>
    </row>
    <row r="264">
      <c r="R264" s="43"/>
      <c r="S264" s="43"/>
      <c r="T264" s="43"/>
    </row>
    <row r="265">
      <c r="R265" s="43"/>
      <c r="S265" s="43"/>
      <c r="T265" s="43"/>
    </row>
    <row r="266">
      <c r="R266" s="43"/>
      <c r="S266" s="43"/>
      <c r="T266" s="43"/>
    </row>
    <row r="267">
      <c r="R267" s="43"/>
      <c r="S267" s="43"/>
      <c r="T267" s="43"/>
    </row>
    <row r="268">
      <c r="R268" s="43"/>
      <c r="S268" s="43"/>
      <c r="T268" s="43"/>
    </row>
    <row r="269">
      <c r="R269" s="43"/>
      <c r="S269" s="43"/>
      <c r="T269" s="43"/>
    </row>
    <row r="270">
      <c r="R270" s="43"/>
      <c r="S270" s="43"/>
      <c r="T270" s="43"/>
    </row>
    <row r="271">
      <c r="R271" s="43"/>
      <c r="S271" s="43"/>
      <c r="T271" s="43"/>
    </row>
    <row r="272">
      <c r="R272" s="43"/>
      <c r="S272" s="43"/>
      <c r="T272" s="43"/>
    </row>
    <row r="273">
      <c r="R273" s="43"/>
      <c r="S273" s="43"/>
      <c r="T273" s="43"/>
    </row>
    <row r="274">
      <c r="R274" s="43"/>
      <c r="S274" s="43"/>
      <c r="T274" s="43"/>
    </row>
    <row r="275">
      <c r="R275" s="43"/>
      <c r="S275" s="43"/>
      <c r="T275" s="43"/>
    </row>
    <row r="276">
      <c r="R276" s="43"/>
      <c r="S276" s="43"/>
      <c r="T276" s="43"/>
    </row>
    <row r="277">
      <c r="R277" s="43"/>
      <c r="S277" s="43"/>
      <c r="T277" s="43"/>
    </row>
    <row r="278">
      <c r="R278" s="43"/>
      <c r="S278" s="43"/>
      <c r="T278" s="43"/>
    </row>
    <row r="279">
      <c r="R279" s="43"/>
      <c r="S279" s="43"/>
      <c r="T279" s="43"/>
    </row>
    <row r="280">
      <c r="R280" s="43"/>
      <c r="S280" s="43"/>
      <c r="T280" s="43"/>
    </row>
    <row r="281">
      <c r="R281" s="43"/>
      <c r="S281" s="43"/>
      <c r="T281" s="43"/>
    </row>
    <row r="282">
      <c r="R282" s="43"/>
      <c r="S282" s="43"/>
      <c r="T282" s="43"/>
    </row>
    <row r="283">
      <c r="R283" s="43"/>
      <c r="S283" s="43"/>
      <c r="T283" s="43"/>
    </row>
    <row r="284">
      <c r="R284" s="43"/>
      <c r="S284" s="43"/>
      <c r="T284" s="43"/>
    </row>
    <row r="285">
      <c r="R285" s="43"/>
      <c r="S285" s="43"/>
      <c r="T285" s="43"/>
    </row>
    <row r="286">
      <c r="R286" s="43"/>
      <c r="S286" s="43"/>
      <c r="T286" s="43"/>
    </row>
    <row r="287">
      <c r="R287" s="43"/>
      <c r="S287" s="43"/>
      <c r="T287" s="43"/>
    </row>
    <row r="288">
      <c r="R288" s="43"/>
      <c r="S288" s="43"/>
      <c r="T288" s="43"/>
    </row>
    <row r="289">
      <c r="R289" s="43"/>
      <c r="S289" s="43"/>
      <c r="T289" s="43"/>
    </row>
    <row r="290">
      <c r="R290" s="43"/>
      <c r="S290" s="43"/>
      <c r="T290" s="43"/>
    </row>
    <row r="291">
      <c r="R291" s="43"/>
      <c r="S291" s="43"/>
      <c r="T291" s="43"/>
    </row>
    <row r="292">
      <c r="R292" s="43"/>
      <c r="S292" s="43"/>
      <c r="T292" s="43"/>
    </row>
    <row r="293">
      <c r="R293" s="43"/>
      <c r="S293" s="43"/>
      <c r="T293" s="43"/>
    </row>
    <row r="294">
      <c r="R294" s="43"/>
      <c r="S294" s="43"/>
      <c r="T294" s="43"/>
    </row>
    <row r="295">
      <c r="R295" s="43"/>
      <c r="S295" s="43"/>
      <c r="T295" s="43"/>
    </row>
    <row r="296">
      <c r="R296" s="43"/>
      <c r="S296" s="43"/>
      <c r="T296" s="43"/>
    </row>
    <row r="297">
      <c r="R297" s="43"/>
      <c r="S297" s="43"/>
      <c r="T297" s="43"/>
    </row>
    <row r="298">
      <c r="R298" s="43"/>
      <c r="S298" s="43"/>
      <c r="T298" s="43"/>
    </row>
    <row r="299">
      <c r="R299" s="43"/>
      <c r="S299" s="43"/>
      <c r="T299" s="43"/>
    </row>
    <row r="300">
      <c r="R300" s="43"/>
      <c r="S300" s="43"/>
      <c r="T300" s="43"/>
    </row>
    <row r="301">
      <c r="R301" s="43"/>
      <c r="S301" s="43"/>
      <c r="T301" s="43"/>
    </row>
    <row r="302">
      <c r="R302" s="43"/>
      <c r="S302" s="43"/>
      <c r="T302" s="43"/>
    </row>
    <row r="303">
      <c r="R303" s="43"/>
      <c r="S303" s="43"/>
      <c r="T303" s="43"/>
    </row>
    <row r="304">
      <c r="R304" s="43"/>
      <c r="S304" s="43"/>
      <c r="T304" s="43"/>
    </row>
    <row r="305">
      <c r="R305" s="43"/>
      <c r="S305" s="43"/>
      <c r="T305" s="43"/>
    </row>
    <row r="306">
      <c r="R306" s="43"/>
      <c r="S306" s="43"/>
      <c r="T306" s="43"/>
    </row>
    <row r="307">
      <c r="R307" s="43"/>
      <c r="S307" s="43"/>
      <c r="T307" s="43"/>
    </row>
    <row r="308">
      <c r="R308" s="43"/>
      <c r="S308" s="43"/>
      <c r="T308" s="43"/>
    </row>
    <row r="309">
      <c r="R309" s="43"/>
      <c r="S309" s="43"/>
      <c r="T309" s="43"/>
    </row>
    <row r="310">
      <c r="R310" s="43"/>
      <c r="S310" s="43"/>
      <c r="T310" s="43"/>
    </row>
    <row r="311">
      <c r="R311" s="43"/>
      <c r="S311" s="43"/>
      <c r="T311" s="43"/>
    </row>
    <row r="312">
      <c r="R312" s="43"/>
      <c r="S312" s="43"/>
      <c r="T312" s="43"/>
    </row>
    <row r="313">
      <c r="R313" s="43"/>
      <c r="S313" s="43"/>
      <c r="T313" s="43"/>
    </row>
    <row r="314">
      <c r="R314" s="43"/>
      <c r="S314" s="43"/>
      <c r="T314" s="43"/>
    </row>
    <row r="315">
      <c r="R315" s="43"/>
      <c r="S315" s="43"/>
      <c r="T315" s="43"/>
    </row>
    <row r="316">
      <c r="R316" s="43"/>
      <c r="S316" s="43"/>
      <c r="T316" s="43"/>
    </row>
    <row r="317">
      <c r="R317" s="43"/>
      <c r="S317" s="43"/>
      <c r="T317" s="43"/>
    </row>
    <row r="318">
      <c r="R318" s="43"/>
      <c r="S318" s="43"/>
      <c r="T318" s="43"/>
    </row>
    <row r="319">
      <c r="R319" s="43"/>
      <c r="S319" s="43"/>
      <c r="T319" s="43"/>
    </row>
    <row r="320">
      <c r="R320" s="43"/>
      <c r="S320" s="43"/>
      <c r="T320" s="43"/>
    </row>
    <row r="321">
      <c r="R321" s="43"/>
      <c r="S321" s="43"/>
      <c r="T321" s="43"/>
    </row>
    <row r="322">
      <c r="R322" s="43"/>
      <c r="S322" s="43"/>
      <c r="T322" s="43"/>
    </row>
    <row r="323">
      <c r="R323" s="43"/>
      <c r="S323" s="43"/>
      <c r="T323" s="43"/>
    </row>
    <row r="324">
      <c r="R324" s="43"/>
      <c r="S324" s="43"/>
      <c r="T324" s="43"/>
    </row>
    <row r="325">
      <c r="R325" s="43"/>
      <c r="S325" s="43"/>
      <c r="T325" s="43"/>
    </row>
    <row r="326">
      <c r="R326" s="43"/>
      <c r="S326" s="43"/>
      <c r="T326" s="43"/>
    </row>
    <row r="327">
      <c r="R327" s="43"/>
      <c r="S327" s="43"/>
      <c r="T327" s="43"/>
    </row>
    <row r="328">
      <c r="R328" s="43"/>
      <c r="S328" s="43"/>
      <c r="T328" s="43"/>
    </row>
    <row r="329">
      <c r="R329" s="43"/>
      <c r="S329" s="43"/>
      <c r="T329" s="43"/>
    </row>
    <row r="330">
      <c r="R330" s="43"/>
      <c r="S330" s="43"/>
      <c r="T330" s="43"/>
    </row>
    <row r="331">
      <c r="R331" s="43"/>
      <c r="S331" s="43"/>
      <c r="T331" s="43"/>
    </row>
    <row r="332">
      <c r="R332" s="43"/>
      <c r="S332" s="43"/>
      <c r="T332" s="43"/>
    </row>
    <row r="333">
      <c r="R333" s="43"/>
      <c r="S333" s="43"/>
      <c r="T333" s="43"/>
    </row>
    <row r="334">
      <c r="R334" s="43"/>
      <c r="S334" s="43"/>
      <c r="T334" s="43"/>
    </row>
    <row r="335">
      <c r="R335" s="43"/>
      <c r="S335" s="43"/>
      <c r="T335" s="43"/>
    </row>
    <row r="336">
      <c r="R336" s="43"/>
      <c r="S336" s="43"/>
      <c r="T336" s="43"/>
    </row>
    <row r="337">
      <c r="R337" s="43"/>
      <c r="S337" s="43"/>
      <c r="T337" s="43"/>
    </row>
    <row r="338">
      <c r="R338" s="43"/>
      <c r="S338" s="43"/>
      <c r="T338" s="43"/>
    </row>
    <row r="339">
      <c r="R339" s="43"/>
      <c r="S339" s="43"/>
      <c r="T339" s="43"/>
    </row>
    <row r="340">
      <c r="R340" s="43"/>
      <c r="S340" s="43"/>
      <c r="T340" s="43"/>
    </row>
    <row r="341">
      <c r="R341" s="43"/>
      <c r="S341" s="43"/>
      <c r="T341" s="43"/>
    </row>
    <row r="342">
      <c r="R342" s="43"/>
      <c r="S342" s="43"/>
      <c r="T342" s="43"/>
    </row>
    <row r="343">
      <c r="R343" s="43"/>
      <c r="S343" s="43"/>
      <c r="T343" s="43"/>
    </row>
    <row r="344">
      <c r="R344" s="43"/>
      <c r="S344" s="43"/>
      <c r="T344" s="43"/>
    </row>
    <row r="345">
      <c r="R345" s="43"/>
      <c r="S345" s="43"/>
      <c r="T345" s="43"/>
    </row>
    <row r="346">
      <c r="R346" s="43"/>
      <c r="S346" s="43"/>
      <c r="T346" s="43"/>
    </row>
    <row r="347">
      <c r="R347" s="43"/>
      <c r="S347" s="43"/>
      <c r="T347" s="43"/>
    </row>
    <row r="348">
      <c r="R348" s="43"/>
      <c r="S348" s="43"/>
      <c r="T348" s="43"/>
    </row>
    <row r="349">
      <c r="R349" s="43"/>
      <c r="S349" s="43"/>
      <c r="T349" s="43"/>
    </row>
    <row r="350">
      <c r="R350" s="43"/>
      <c r="S350" s="43"/>
      <c r="T350" s="43"/>
    </row>
    <row r="351">
      <c r="R351" s="43"/>
      <c r="S351" s="43"/>
      <c r="T351" s="43"/>
    </row>
    <row r="352">
      <c r="R352" s="43"/>
      <c r="S352" s="43"/>
      <c r="T352" s="43"/>
    </row>
    <row r="353">
      <c r="R353" s="43"/>
      <c r="S353" s="43"/>
      <c r="T353" s="43"/>
    </row>
    <row r="354">
      <c r="R354" s="43"/>
      <c r="S354" s="43"/>
      <c r="T354" s="43"/>
    </row>
    <row r="355">
      <c r="R355" s="43"/>
      <c r="S355" s="43"/>
      <c r="T355" s="43"/>
    </row>
    <row r="356">
      <c r="R356" s="43"/>
      <c r="S356" s="43"/>
      <c r="T356" s="43"/>
    </row>
    <row r="357">
      <c r="R357" s="43"/>
      <c r="S357" s="43"/>
      <c r="T357" s="43"/>
    </row>
    <row r="358">
      <c r="R358" s="43"/>
      <c r="S358" s="43"/>
      <c r="T358" s="43"/>
    </row>
    <row r="359">
      <c r="R359" s="43"/>
      <c r="S359" s="43"/>
      <c r="T359" s="43"/>
    </row>
    <row r="360">
      <c r="R360" s="43"/>
      <c r="S360" s="43"/>
      <c r="T360" s="43"/>
    </row>
    <row r="361">
      <c r="R361" s="43"/>
      <c r="S361" s="43"/>
      <c r="T361" s="43"/>
    </row>
    <row r="362">
      <c r="R362" s="43"/>
      <c r="S362" s="43"/>
      <c r="T362" s="43"/>
    </row>
    <row r="363">
      <c r="R363" s="43"/>
      <c r="S363" s="43"/>
      <c r="T363" s="43"/>
    </row>
    <row r="364">
      <c r="R364" s="43"/>
      <c r="S364" s="43"/>
      <c r="T364" s="43"/>
    </row>
    <row r="365">
      <c r="R365" s="43"/>
      <c r="S365" s="43"/>
      <c r="T365" s="43"/>
    </row>
    <row r="366">
      <c r="R366" s="43"/>
      <c r="S366" s="43"/>
      <c r="T366" s="43"/>
    </row>
    <row r="367">
      <c r="R367" s="43"/>
      <c r="S367" s="43"/>
      <c r="T367" s="43"/>
    </row>
    <row r="368">
      <c r="R368" s="43"/>
      <c r="S368" s="43"/>
      <c r="T368" s="43"/>
    </row>
    <row r="369">
      <c r="R369" s="43"/>
      <c r="S369" s="43"/>
      <c r="T369" s="43"/>
    </row>
    <row r="370">
      <c r="R370" s="43"/>
      <c r="S370" s="43"/>
      <c r="T370" s="43"/>
    </row>
    <row r="371">
      <c r="R371" s="43"/>
      <c r="S371" s="43"/>
      <c r="T371" s="43"/>
    </row>
    <row r="372">
      <c r="R372" s="43"/>
      <c r="S372" s="43"/>
      <c r="T372" s="43"/>
    </row>
    <row r="373">
      <c r="R373" s="43"/>
      <c r="S373" s="43"/>
      <c r="T373" s="43"/>
    </row>
    <row r="374">
      <c r="R374" s="43"/>
      <c r="S374" s="43"/>
      <c r="T374" s="43"/>
    </row>
    <row r="375">
      <c r="R375" s="43"/>
      <c r="S375" s="43"/>
      <c r="T375" s="43"/>
    </row>
    <row r="376">
      <c r="R376" s="43"/>
      <c r="S376" s="43"/>
      <c r="T376" s="43"/>
    </row>
    <row r="377">
      <c r="R377" s="43"/>
      <c r="S377" s="43"/>
      <c r="T377" s="43"/>
    </row>
    <row r="378">
      <c r="R378" s="43"/>
      <c r="S378" s="43"/>
      <c r="T378" s="43"/>
    </row>
    <row r="379">
      <c r="R379" s="43"/>
      <c r="S379" s="43"/>
      <c r="T379" s="43"/>
    </row>
    <row r="380">
      <c r="R380" s="43"/>
      <c r="S380" s="43"/>
      <c r="T380" s="43"/>
    </row>
    <row r="381">
      <c r="R381" s="43"/>
      <c r="S381" s="43"/>
      <c r="T381" s="43"/>
    </row>
    <row r="382">
      <c r="R382" s="43"/>
      <c r="S382" s="43"/>
      <c r="T382" s="43"/>
    </row>
    <row r="383">
      <c r="R383" s="43"/>
      <c r="S383" s="43"/>
      <c r="T383" s="43"/>
    </row>
    <row r="384">
      <c r="R384" s="43"/>
      <c r="S384" s="43"/>
      <c r="T384" s="43"/>
    </row>
    <row r="385">
      <c r="R385" s="43"/>
      <c r="S385" s="43"/>
      <c r="T385" s="43"/>
    </row>
    <row r="386">
      <c r="R386" s="43"/>
      <c r="S386" s="43"/>
      <c r="T386" s="43"/>
    </row>
    <row r="387">
      <c r="R387" s="43"/>
      <c r="S387" s="43"/>
      <c r="T387" s="43"/>
    </row>
    <row r="388">
      <c r="R388" s="43"/>
      <c r="S388" s="43"/>
      <c r="T388" s="43"/>
    </row>
    <row r="389">
      <c r="R389" s="43"/>
      <c r="S389" s="43"/>
      <c r="T389" s="43"/>
    </row>
    <row r="390">
      <c r="R390" s="43"/>
      <c r="S390" s="43"/>
      <c r="T390" s="43"/>
    </row>
    <row r="391">
      <c r="R391" s="43"/>
      <c r="S391" s="43"/>
      <c r="T391" s="43"/>
    </row>
    <row r="392">
      <c r="R392" s="43"/>
      <c r="S392" s="43"/>
      <c r="T392" s="43"/>
    </row>
    <row r="393">
      <c r="R393" s="43"/>
      <c r="S393" s="43"/>
      <c r="T393" s="43"/>
    </row>
    <row r="394">
      <c r="R394" s="43"/>
      <c r="S394" s="43"/>
      <c r="T394" s="43"/>
    </row>
    <row r="395">
      <c r="R395" s="43"/>
      <c r="S395" s="43"/>
      <c r="T395" s="43"/>
    </row>
    <row r="396">
      <c r="R396" s="43"/>
      <c r="S396" s="43"/>
      <c r="T396" s="43"/>
    </row>
    <row r="397">
      <c r="R397" s="43"/>
      <c r="S397" s="43"/>
      <c r="T397" s="43"/>
    </row>
    <row r="398">
      <c r="R398" s="43"/>
      <c r="S398" s="43"/>
      <c r="T398" s="43"/>
    </row>
    <row r="399">
      <c r="R399" s="43"/>
      <c r="S399" s="43"/>
      <c r="T399" s="43"/>
    </row>
    <row r="400">
      <c r="R400" s="43"/>
      <c r="S400" s="43"/>
      <c r="T400" s="43"/>
    </row>
    <row r="401">
      <c r="R401" s="43"/>
      <c r="S401" s="43"/>
      <c r="T401" s="43"/>
    </row>
    <row r="402">
      <c r="R402" s="43"/>
      <c r="S402" s="43"/>
      <c r="T402" s="43"/>
    </row>
    <row r="403">
      <c r="R403" s="43"/>
      <c r="S403" s="43"/>
      <c r="T403" s="43"/>
    </row>
    <row r="404">
      <c r="R404" s="43"/>
      <c r="S404" s="43"/>
      <c r="T404" s="43"/>
    </row>
    <row r="405">
      <c r="R405" s="43"/>
      <c r="S405" s="43"/>
      <c r="T405" s="43"/>
    </row>
    <row r="406">
      <c r="R406" s="43"/>
      <c r="S406" s="43"/>
      <c r="T406" s="43"/>
    </row>
    <row r="407">
      <c r="R407" s="43"/>
      <c r="S407" s="43"/>
      <c r="T407" s="43"/>
    </row>
    <row r="408">
      <c r="R408" s="43"/>
      <c r="S408" s="43"/>
      <c r="T408" s="43"/>
    </row>
    <row r="409">
      <c r="R409" s="43"/>
      <c r="S409" s="43"/>
      <c r="T409" s="43"/>
    </row>
    <row r="410">
      <c r="R410" s="43"/>
      <c r="S410" s="43"/>
      <c r="T410" s="43"/>
    </row>
    <row r="411">
      <c r="R411" s="43"/>
      <c r="S411" s="43"/>
      <c r="T411" s="43"/>
    </row>
    <row r="412">
      <c r="R412" s="43"/>
      <c r="S412" s="43"/>
      <c r="T412" s="43"/>
    </row>
    <row r="413">
      <c r="R413" s="43"/>
      <c r="S413" s="43"/>
      <c r="T413" s="43"/>
    </row>
    <row r="414">
      <c r="R414" s="43"/>
      <c r="S414" s="43"/>
      <c r="T414" s="43"/>
    </row>
    <row r="415">
      <c r="R415" s="43"/>
      <c r="S415" s="43"/>
      <c r="T415" s="43"/>
    </row>
    <row r="416">
      <c r="R416" s="43"/>
      <c r="S416" s="43"/>
      <c r="T416" s="43"/>
    </row>
    <row r="417">
      <c r="R417" s="43"/>
      <c r="S417" s="43"/>
      <c r="T417" s="43"/>
    </row>
    <row r="418">
      <c r="R418" s="43"/>
      <c r="S418" s="43"/>
      <c r="T418" s="43"/>
    </row>
    <row r="419">
      <c r="R419" s="43"/>
      <c r="S419" s="43"/>
      <c r="T419" s="43"/>
    </row>
    <row r="420">
      <c r="R420" s="43"/>
      <c r="S420" s="43"/>
      <c r="T420" s="43"/>
    </row>
    <row r="421">
      <c r="R421" s="43"/>
      <c r="S421" s="43"/>
      <c r="T421" s="43"/>
    </row>
    <row r="422">
      <c r="R422" s="43"/>
      <c r="S422" s="43"/>
      <c r="T422" s="43"/>
    </row>
    <row r="423">
      <c r="R423" s="43"/>
      <c r="S423" s="43"/>
      <c r="T423" s="43"/>
    </row>
    <row r="424">
      <c r="R424" s="43"/>
      <c r="S424" s="43"/>
      <c r="T424" s="43"/>
    </row>
    <row r="425">
      <c r="R425" s="43"/>
      <c r="S425" s="43"/>
      <c r="T425" s="43"/>
    </row>
    <row r="426">
      <c r="R426" s="43"/>
      <c r="S426" s="43"/>
      <c r="T426" s="43"/>
    </row>
    <row r="427">
      <c r="R427" s="43"/>
      <c r="S427" s="43"/>
      <c r="T427" s="43"/>
    </row>
    <row r="428">
      <c r="R428" s="43"/>
      <c r="S428" s="43"/>
      <c r="T428" s="43"/>
    </row>
    <row r="429">
      <c r="R429" s="43"/>
      <c r="S429" s="43"/>
      <c r="T429" s="43"/>
    </row>
    <row r="430">
      <c r="R430" s="43"/>
      <c r="S430" s="43"/>
      <c r="T430" s="43"/>
    </row>
    <row r="431">
      <c r="R431" s="43"/>
      <c r="S431" s="43"/>
      <c r="T431" s="43"/>
    </row>
    <row r="432">
      <c r="R432" s="43"/>
      <c r="S432" s="43"/>
      <c r="T432" s="43"/>
    </row>
    <row r="433">
      <c r="R433" s="43"/>
      <c r="S433" s="43"/>
      <c r="T433" s="43"/>
    </row>
    <row r="434">
      <c r="R434" s="43"/>
      <c r="S434" s="43"/>
      <c r="T434" s="43"/>
    </row>
    <row r="435">
      <c r="R435" s="43"/>
      <c r="S435" s="43"/>
      <c r="T435" s="43"/>
    </row>
    <row r="436">
      <c r="R436" s="43"/>
      <c r="S436" s="43"/>
      <c r="T436" s="43"/>
    </row>
    <row r="437">
      <c r="R437" s="43"/>
      <c r="S437" s="43"/>
      <c r="T437" s="43"/>
    </row>
    <row r="438">
      <c r="R438" s="43"/>
      <c r="S438" s="43"/>
      <c r="T438" s="43"/>
    </row>
    <row r="439">
      <c r="R439" s="43"/>
      <c r="S439" s="43"/>
      <c r="T439" s="43"/>
    </row>
    <row r="440">
      <c r="R440" s="43"/>
      <c r="S440" s="43"/>
      <c r="T440" s="43"/>
    </row>
    <row r="441">
      <c r="R441" s="43"/>
      <c r="S441" s="43"/>
      <c r="T441" s="43"/>
    </row>
    <row r="442">
      <c r="R442" s="43"/>
      <c r="S442" s="43"/>
      <c r="T442" s="43"/>
    </row>
    <row r="443">
      <c r="R443" s="43"/>
      <c r="S443" s="43"/>
      <c r="T443" s="43"/>
    </row>
    <row r="444">
      <c r="R444" s="43"/>
      <c r="S444" s="43"/>
      <c r="T444" s="43"/>
    </row>
    <row r="445">
      <c r="R445" s="43"/>
      <c r="S445" s="43"/>
      <c r="T445" s="43"/>
    </row>
    <row r="446">
      <c r="R446" s="43"/>
      <c r="S446" s="43"/>
      <c r="T446" s="43"/>
    </row>
    <row r="447">
      <c r="R447" s="43"/>
      <c r="S447" s="43"/>
      <c r="T447" s="43"/>
    </row>
    <row r="448">
      <c r="R448" s="43"/>
      <c r="S448" s="43"/>
      <c r="T448" s="43"/>
    </row>
    <row r="449">
      <c r="R449" s="43"/>
      <c r="S449" s="43"/>
      <c r="T449" s="43"/>
    </row>
    <row r="450">
      <c r="R450" s="43"/>
      <c r="S450" s="43"/>
      <c r="T450" s="43"/>
    </row>
    <row r="451">
      <c r="R451" s="43"/>
      <c r="S451" s="43"/>
      <c r="T451" s="43"/>
    </row>
    <row r="452">
      <c r="R452" s="43"/>
      <c r="S452" s="43"/>
      <c r="T452" s="43"/>
    </row>
    <row r="453">
      <c r="R453" s="43"/>
      <c r="S453" s="43"/>
      <c r="T453" s="43"/>
    </row>
    <row r="454">
      <c r="R454" s="43"/>
      <c r="S454" s="43"/>
      <c r="T454" s="43"/>
    </row>
    <row r="455">
      <c r="R455" s="43"/>
      <c r="S455" s="43"/>
      <c r="T455" s="43"/>
    </row>
    <row r="456">
      <c r="R456" s="43"/>
      <c r="S456" s="43"/>
      <c r="T456" s="43"/>
    </row>
    <row r="457">
      <c r="R457" s="43"/>
      <c r="S457" s="43"/>
      <c r="T457" s="43"/>
    </row>
    <row r="458">
      <c r="R458" s="43"/>
      <c r="S458" s="43"/>
      <c r="T458" s="43"/>
    </row>
    <row r="459">
      <c r="R459" s="43"/>
      <c r="S459" s="43"/>
      <c r="T459" s="43"/>
    </row>
    <row r="460">
      <c r="R460" s="43"/>
      <c r="S460" s="43"/>
      <c r="T460" s="43"/>
    </row>
    <row r="461">
      <c r="R461" s="43"/>
      <c r="S461" s="43"/>
      <c r="T461" s="43"/>
    </row>
    <row r="462">
      <c r="R462" s="43"/>
      <c r="S462" s="43"/>
      <c r="T462" s="43"/>
    </row>
    <row r="463">
      <c r="R463" s="43"/>
      <c r="S463" s="43"/>
      <c r="T463" s="43"/>
    </row>
    <row r="464">
      <c r="R464" s="43"/>
      <c r="S464" s="43"/>
      <c r="T464" s="43"/>
    </row>
    <row r="465">
      <c r="R465" s="43"/>
      <c r="S465" s="43"/>
      <c r="T465" s="43"/>
    </row>
    <row r="466">
      <c r="R466" s="43"/>
      <c r="S466" s="43"/>
      <c r="T466" s="43"/>
    </row>
    <row r="467">
      <c r="R467" s="43"/>
      <c r="S467" s="43"/>
      <c r="T467" s="43"/>
    </row>
    <row r="468">
      <c r="R468" s="43"/>
      <c r="S468" s="43"/>
      <c r="T468" s="43"/>
    </row>
    <row r="469">
      <c r="R469" s="43"/>
      <c r="S469" s="43"/>
      <c r="T469" s="43"/>
    </row>
    <row r="470">
      <c r="R470" s="43"/>
      <c r="S470" s="43"/>
      <c r="T470" s="43"/>
    </row>
    <row r="471">
      <c r="R471" s="43"/>
      <c r="S471" s="43"/>
      <c r="T471" s="43"/>
    </row>
    <row r="472">
      <c r="R472" s="43"/>
      <c r="S472" s="43"/>
      <c r="T472" s="43"/>
    </row>
    <row r="473">
      <c r="R473" s="43"/>
      <c r="S473" s="43"/>
      <c r="T473" s="43"/>
    </row>
    <row r="474">
      <c r="R474" s="43"/>
      <c r="S474" s="43"/>
      <c r="T474" s="43"/>
    </row>
    <row r="475">
      <c r="R475" s="43"/>
      <c r="S475" s="43"/>
      <c r="T475" s="43"/>
    </row>
    <row r="476">
      <c r="R476" s="43"/>
      <c r="S476" s="43"/>
      <c r="T476" s="43"/>
    </row>
    <row r="477">
      <c r="R477" s="43"/>
      <c r="S477" s="43"/>
      <c r="T477" s="43"/>
    </row>
    <row r="478">
      <c r="R478" s="43"/>
      <c r="S478" s="43"/>
      <c r="T478" s="43"/>
    </row>
    <row r="479">
      <c r="R479" s="43"/>
      <c r="S479" s="43"/>
      <c r="T479" s="43"/>
    </row>
    <row r="480">
      <c r="R480" s="43"/>
      <c r="S480" s="43"/>
      <c r="T480" s="43"/>
    </row>
    <row r="481">
      <c r="R481" s="43"/>
      <c r="S481" s="43"/>
      <c r="T481" s="43"/>
    </row>
    <row r="482">
      <c r="R482" s="43"/>
      <c r="S482" s="43"/>
      <c r="T482" s="43"/>
    </row>
    <row r="483">
      <c r="R483" s="43"/>
      <c r="S483" s="43"/>
      <c r="T483" s="43"/>
    </row>
    <row r="484">
      <c r="R484" s="43"/>
      <c r="S484" s="43"/>
      <c r="T484" s="43"/>
    </row>
    <row r="485">
      <c r="R485" s="43"/>
      <c r="S485" s="43"/>
      <c r="T485" s="43"/>
    </row>
    <row r="486">
      <c r="R486" s="43"/>
      <c r="S486" s="43"/>
      <c r="T486" s="43"/>
    </row>
    <row r="487">
      <c r="R487" s="43"/>
      <c r="S487" s="43"/>
      <c r="T487" s="43"/>
    </row>
    <row r="488">
      <c r="R488" s="43"/>
      <c r="S488" s="43"/>
      <c r="T488" s="43"/>
    </row>
    <row r="489">
      <c r="R489" s="43"/>
      <c r="S489" s="43"/>
      <c r="T489" s="43"/>
    </row>
    <row r="490">
      <c r="R490" s="43"/>
      <c r="S490" s="43"/>
      <c r="T490" s="43"/>
    </row>
    <row r="491">
      <c r="R491" s="43"/>
      <c r="S491" s="43"/>
      <c r="T491" s="43"/>
    </row>
    <row r="492">
      <c r="R492" s="43"/>
      <c r="S492" s="43"/>
      <c r="T492" s="43"/>
    </row>
    <row r="493">
      <c r="R493" s="43"/>
      <c r="S493" s="43"/>
      <c r="T493" s="43"/>
    </row>
    <row r="494">
      <c r="R494" s="43"/>
      <c r="S494" s="43"/>
      <c r="T494" s="43"/>
    </row>
    <row r="495">
      <c r="R495" s="43"/>
      <c r="S495" s="43"/>
      <c r="T495" s="43"/>
    </row>
    <row r="496">
      <c r="R496" s="43"/>
      <c r="S496" s="43"/>
      <c r="T496" s="43"/>
    </row>
    <row r="497">
      <c r="R497" s="43"/>
      <c r="S497" s="43"/>
      <c r="T497" s="43"/>
    </row>
    <row r="498">
      <c r="R498" s="43"/>
      <c r="S498" s="43"/>
      <c r="T498" s="43"/>
    </row>
    <row r="499">
      <c r="R499" s="43"/>
      <c r="S499" s="43"/>
      <c r="T499" s="43"/>
    </row>
    <row r="500">
      <c r="R500" s="43"/>
      <c r="S500" s="43"/>
      <c r="T500" s="43"/>
    </row>
    <row r="501">
      <c r="R501" s="43"/>
      <c r="S501" s="43"/>
      <c r="T501" s="43"/>
    </row>
    <row r="502">
      <c r="R502" s="43"/>
      <c r="S502" s="43"/>
      <c r="T502" s="43"/>
    </row>
    <row r="503">
      <c r="R503" s="43"/>
      <c r="S503" s="43"/>
      <c r="T503" s="43"/>
    </row>
    <row r="504">
      <c r="R504" s="43"/>
      <c r="S504" s="43"/>
      <c r="T504" s="43"/>
    </row>
    <row r="505">
      <c r="R505" s="43"/>
      <c r="S505" s="43"/>
      <c r="T505" s="43"/>
    </row>
    <row r="506">
      <c r="R506" s="43"/>
      <c r="S506" s="43"/>
      <c r="T506" s="43"/>
    </row>
    <row r="507">
      <c r="R507" s="43"/>
      <c r="S507" s="43"/>
      <c r="T507" s="43"/>
    </row>
    <row r="508">
      <c r="R508" s="43"/>
      <c r="S508" s="43"/>
      <c r="T508" s="43"/>
    </row>
    <row r="509">
      <c r="R509" s="43"/>
      <c r="S509" s="43"/>
      <c r="T509" s="43"/>
    </row>
    <row r="510">
      <c r="R510" s="43"/>
      <c r="S510" s="43"/>
      <c r="T510" s="43"/>
    </row>
    <row r="511">
      <c r="R511" s="43"/>
      <c r="S511" s="43"/>
      <c r="T511" s="43"/>
    </row>
    <row r="512">
      <c r="R512" s="43"/>
      <c r="S512" s="43"/>
      <c r="T512" s="43"/>
    </row>
    <row r="513">
      <c r="R513" s="43"/>
      <c r="S513" s="43"/>
      <c r="T513" s="43"/>
    </row>
    <row r="514">
      <c r="R514" s="43"/>
      <c r="S514" s="43"/>
      <c r="T514" s="43"/>
    </row>
    <row r="515">
      <c r="R515" s="43"/>
      <c r="S515" s="43"/>
      <c r="T515" s="43"/>
    </row>
    <row r="516">
      <c r="R516" s="43"/>
      <c r="S516" s="43"/>
      <c r="T516" s="43"/>
    </row>
    <row r="517">
      <c r="R517" s="43"/>
      <c r="S517" s="43"/>
      <c r="T517" s="43"/>
    </row>
    <row r="518">
      <c r="R518" s="43"/>
      <c r="S518" s="43"/>
      <c r="T518" s="43"/>
    </row>
    <row r="519">
      <c r="R519" s="43"/>
      <c r="S519" s="43"/>
      <c r="T519" s="43"/>
    </row>
    <row r="520">
      <c r="R520" s="43"/>
      <c r="S520" s="43"/>
      <c r="T520" s="43"/>
    </row>
    <row r="521">
      <c r="R521" s="43"/>
      <c r="S521" s="43"/>
      <c r="T521" s="43"/>
    </row>
    <row r="522">
      <c r="R522" s="43"/>
      <c r="S522" s="43"/>
      <c r="T522" s="43"/>
    </row>
    <row r="523">
      <c r="R523" s="43"/>
      <c r="S523" s="43"/>
      <c r="T523" s="43"/>
    </row>
    <row r="524">
      <c r="R524" s="43"/>
      <c r="S524" s="43"/>
      <c r="T524" s="43"/>
    </row>
    <row r="525">
      <c r="R525" s="43"/>
      <c r="S525" s="43"/>
      <c r="T525" s="43"/>
    </row>
    <row r="526">
      <c r="R526" s="43"/>
      <c r="S526" s="43"/>
      <c r="T526" s="43"/>
    </row>
    <row r="527">
      <c r="R527" s="43"/>
      <c r="S527" s="43"/>
      <c r="T527" s="43"/>
    </row>
    <row r="528">
      <c r="R528" s="43"/>
      <c r="S528" s="43"/>
      <c r="T528" s="43"/>
    </row>
    <row r="529">
      <c r="R529" s="43"/>
      <c r="S529" s="43"/>
      <c r="T529" s="43"/>
    </row>
    <row r="530">
      <c r="R530" s="43"/>
      <c r="S530" s="43"/>
      <c r="T530" s="43"/>
    </row>
    <row r="531">
      <c r="R531" s="43"/>
      <c r="S531" s="43"/>
      <c r="T531" s="43"/>
    </row>
    <row r="532">
      <c r="R532" s="43"/>
      <c r="S532" s="43"/>
      <c r="T532" s="43"/>
    </row>
    <row r="533">
      <c r="R533" s="43"/>
      <c r="S533" s="43"/>
      <c r="T533" s="43"/>
    </row>
    <row r="534">
      <c r="R534" s="43"/>
      <c r="S534" s="43"/>
      <c r="T534" s="43"/>
    </row>
    <row r="535">
      <c r="R535" s="43"/>
      <c r="S535" s="43"/>
      <c r="T535" s="43"/>
    </row>
    <row r="536">
      <c r="R536" s="43"/>
      <c r="S536" s="43"/>
      <c r="T536" s="43"/>
    </row>
    <row r="537">
      <c r="R537" s="43"/>
      <c r="S537" s="43"/>
      <c r="T537" s="43"/>
    </row>
    <row r="538">
      <c r="R538" s="43"/>
      <c r="S538" s="43"/>
      <c r="T538" s="43"/>
    </row>
    <row r="539">
      <c r="R539" s="43"/>
      <c r="S539" s="43"/>
      <c r="T539" s="43"/>
    </row>
    <row r="540">
      <c r="R540" s="43"/>
      <c r="S540" s="43"/>
      <c r="T540" s="43"/>
    </row>
    <row r="541">
      <c r="R541" s="43"/>
      <c r="S541" s="43"/>
      <c r="T541" s="43"/>
    </row>
    <row r="542">
      <c r="R542" s="43"/>
      <c r="S542" s="43"/>
      <c r="T542" s="43"/>
    </row>
    <row r="543">
      <c r="R543" s="43"/>
      <c r="S543" s="43"/>
      <c r="T543" s="43"/>
    </row>
    <row r="544">
      <c r="R544" s="43"/>
      <c r="S544" s="43"/>
      <c r="T544" s="43"/>
    </row>
    <row r="545">
      <c r="R545" s="43"/>
      <c r="S545" s="43"/>
      <c r="T545" s="43"/>
    </row>
    <row r="546">
      <c r="R546" s="43"/>
      <c r="S546" s="43"/>
      <c r="T546" s="43"/>
    </row>
    <row r="547">
      <c r="R547" s="43"/>
      <c r="S547" s="43"/>
      <c r="T547" s="43"/>
    </row>
    <row r="548">
      <c r="R548" s="43"/>
      <c r="S548" s="43"/>
      <c r="T548" s="43"/>
    </row>
    <row r="549">
      <c r="R549" s="43"/>
      <c r="S549" s="43"/>
      <c r="T549" s="43"/>
    </row>
    <row r="550">
      <c r="R550" s="43"/>
      <c r="S550" s="43"/>
      <c r="T550" s="43"/>
    </row>
    <row r="551">
      <c r="R551" s="43"/>
      <c r="S551" s="43"/>
      <c r="T551" s="43"/>
    </row>
    <row r="552">
      <c r="R552" s="43"/>
      <c r="S552" s="43"/>
      <c r="T552" s="43"/>
    </row>
    <row r="553">
      <c r="R553" s="43"/>
      <c r="S553" s="43"/>
      <c r="T553" s="43"/>
    </row>
    <row r="554">
      <c r="R554" s="43"/>
      <c r="S554" s="43"/>
      <c r="T554" s="43"/>
    </row>
    <row r="555">
      <c r="R555" s="43"/>
      <c r="S555" s="43"/>
      <c r="T555" s="43"/>
    </row>
    <row r="556">
      <c r="R556" s="43"/>
      <c r="S556" s="43"/>
      <c r="T556" s="43"/>
    </row>
    <row r="557">
      <c r="R557" s="43"/>
      <c r="S557" s="43"/>
      <c r="T557" s="43"/>
    </row>
    <row r="558">
      <c r="R558" s="43"/>
      <c r="S558" s="43"/>
      <c r="T558" s="43"/>
    </row>
    <row r="559">
      <c r="R559" s="43"/>
      <c r="S559" s="43"/>
      <c r="T559" s="43"/>
    </row>
    <row r="560">
      <c r="R560" s="43"/>
      <c r="S560" s="43"/>
      <c r="T560" s="43"/>
    </row>
    <row r="561">
      <c r="R561" s="43"/>
      <c r="S561" s="43"/>
      <c r="T561" s="43"/>
    </row>
    <row r="562">
      <c r="R562" s="43"/>
      <c r="S562" s="43"/>
      <c r="T562" s="43"/>
    </row>
    <row r="563">
      <c r="R563" s="43"/>
      <c r="S563" s="43"/>
      <c r="T563" s="43"/>
    </row>
    <row r="564">
      <c r="R564" s="43"/>
      <c r="S564" s="43"/>
      <c r="T564" s="43"/>
    </row>
    <row r="565">
      <c r="R565" s="43"/>
      <c r="S565" s="43"/>
      <c r="T565" s="43"/>
    </row>
    <row r="566">
      <c r="R566" s="43"/>
      <c r="S566" s="43"/>
      <c r="T566" s="43"/>
    </row>
    <row r="567">
      <c r="R567" s="43"/>
      <c r="S567" s="43"/>
      <c r="T567" s="43"/>
    </row>
    <row r="568">
      <c r="R568" s="43"/>
      <c r="S568" s="43"/>
      <c r="T568" s="43"/>
    </row>
    <row r="569">
      <c r="R569" s="43"/>
      <c r="S569" s="43"/>
      <c r="T569" s="43"/>
    </row>
    <row r="570">
      <c r="R570" s="43"/>
      <c r="S570" s="43"/>
      <c r="T570" s="43"/>
    </row>
    <row r="571">
      <c r="R571" s="43"/>
      <c r="S571" s="43"/>
      <c r="T571" s="43"/>
    </row>
    <row r="572">
      <c r="R572" s="43"/>
      <c r="S572" s="43"/>
      <c r="T572" s="43"/>
    </row>
    <row r="573">
      <c r="R573" s="43"/>
      <c r="S573" s="43"/>
      <c r="T573" s="43"/>
    </row>
    <row r="574">
      <c r="R574" s="43"/>
      <c r="S574" s="43"/>
      <c r="T574" s="43"/>
    </row>
    <row r="575">
      <c r="R575" s="43"/>
      <c r="S575" s="43"/>
      <c r="T575" s="43"/>
    </row>
    <row r="576">
      <c r="R576" s="43"/>
      <c r="S576" s="43"/>
      <c r="T576" s="43"/>
    </row>
    <row r="577">
      <c r="R577" s="43"/>
      <c r="S577" s="43"/>
      <c r="T577" s="43"/>
    </row>
    <row r="578">
      <c r="R578" s="43"/>
      <c r="S578" s="43"/>
      <c r="T578" s="43"/>
    </row>
    <row r="579">
      <c r="R579" s="43"/>
      <c r="S579" s="43"/>
      <c r="T579" s="43"/>
    </row>
    <row r="580">
      <c r="R580" s="43"/>
      <c r="S580" s="43"/>
      <c r="T580" s="43"/>
    </row>
    <row r="581">
      <c r="R581" s="43"/>
      <c r="S581" s="43"/>
      <c r="T581" s="43"/>
    </row>
    <row r="582">
      <c r="R582" s="43"/>
      <c r="S582" s="43"/>
      <c r="T582" s="43"/>
    </row>
    <row r="583">
      <c r="R583" s="43"/>
      <c r="S583" s="43"/>
      <c r="T583" s="43"/>
    </row>
    <row r="584">
      <c r="R584" s="43"/>
      <c r="S584" s="43"/>
      <c r="T584" s="43"/>
    </row>
    <row r="585">
      <c r="R585" s="43"/>
      <c r="S585" s="43"/>
      <c r="T585" s="43"/>
    </row>
    <row r="586">
      <c r="R586" s="43"/>
      <c r="S586" s="43"/>
      <c r="T586" s="43"/>
    </row>
    <row r="587">
      <c r="R587" s="43"/>
      <c r="S587" s="43"/>
      <c r="T587" s="43"/>
    </row>
    <row r="588">
      <c r="R588" s="43"/>
      <c r="S588" s="43"/>
      <c r="T588" s="43"/>
    </row>
    <row r="589">
      <c r="R589" s="43"/>
      <c r="S589" s="43"/>
      <c r="T589" s="43"/>
    </row>
    <row r="590">
      <c r="R590" s="43"/>
      <c r="S590" s="43"/>
      <c r="T590" s="43"/>
    </row>
    <row r="591">
      <c r="R591" s="43"/>
      <c r="S591" s="43"/>
      <c r="T591" s="43"/>
    </row>
    <row r="592">
      <c r="R592" s="43"/>
      <c r="S592" s="43"/>
      <c r="T592" s="43"/>
    </row>
    <row r="593">
      <c r="R593" s="43"/>
      <c r="S593" s="43"/>
      <c r="T593" s="43"/>
    </row>
    <row r="594">
      <c r="R594" s="43"/>
      <c r="S594" s="43"/>
      <c r="T594" s="43"/>
    </row>
    <row r="595">
      <c r="R595" s="43"/>
      <c r="S595" s="43"/>
      <c r="T595" s="43"/>
    </row>
    <row r="596">
      <c r="R596" s="43"/>
      <c r="S596" s="43"/>
      <c r="T596" s="43"/>
    </row>
    <row r="597">
      <c r="R597" s="43"/>
      <c r="S597" s="43"/>
      <c r="T597" s="43"/>
    </row>
    <row r="598">
      <c r="R598" s="43"/>
      <c r="S598" s="43"/>
      <c r="T598" s="43"/>
    </row>
    <row r="599">
      <c r="R599" s="43"/>
      <c r="S599" s="43"/>
      <c r="T599" s="43"/>
    </row>
    <row r="600">
      <c r="R600" s="43"/>
      <c r="S600" s="43"/>
      <c r="T600" s="43"/>
    </row>
    <row r="601">
      <c r="R601" s="43"/>
      <c r="S601" s="43"/>
      <c r="T601" s="43"/>
    </row>
    <row r="602">
      <c r="R602" s="43"/>
      <c r="S602" s="43"/>
      <c r="T602" s="43"/>
    </row>
    <row r="603">
      <c r="R603" s="43"/>
      <c r="S603" s="43"/>
      <c r="T603" s="43"/>
    </row>
    <row r="604">
      <c r="R604" s="43"/>
      <c r="S604" s="43"/>
      <c r="T604" s="43"/>
    </row>
    <row r="605">
      <c r="R605" s="43"/>
      <c r="S605" s="43"/>
      <c r="T605" s="43"/>
    </row>
    <row r="606">
      <c r="R606" s="43"/>
      <c r="S606" s="43"/>
      <c r="T606" s="43"/>
    </row>
    <row r="607">
      <c r="R607" s="43"/>
      <c r="S607" s="43"/>
      <c r="T607" s="43"/>
    </row>
    <row r="608">
      <c r="R608" s="43"/>
      <c r="S608" s="43"/>
      <c r="T608" s="43"/>
    </row>
    <row r="609">
      <c r="R609" s="43"/>
      <c r="S609" s="43"/>
      <c r="T609" s="43"/>
    </row>
    <row r="610">
      <c r="R610" s="43"/>
      <c r="S610" s="43"/>
      <c r="T610" s="43"/>
    </row>
    <row r="611">
      <c r="R611" s="43"/>
      <c r="S611" s="43"/>
      <c r="T611" s="43"/>
    </row>
    <row r="612">
      <c r="R612" s="43"/>
      <c r="S612" s="43"/>
      <c r="T612" s="43"/>
    </row>
    <row r="613">
      <c r="R613" s="43"/>
      <c r="S613" s="43"/>
      <c r="T613" s="43"/>
    </row>
    <row r="614">
      <c r="R614" s="43"/>
      <c r="S614" s="43"/>
      <c r="T614" s="43"/>
    </row>
    <row r="615">
      <c r="R615" s="43"/>
      <c r="S615" s="43"/>
      <c r="T615" s="43"/>
    </row>
    <row r="616">
      <c r="R616" s="43"/>
      <c r="S616" s="43"/>
      <c r="T616" s="43"/>
    </row>
    <row r="617">
      <c r="R617" s="43"/>
      <c r="S617" s="43"/>
      <c r="T617" s="43"/>
    </row>
    <row r="618">
      <c r="R618" s="43"/>
      <c r="S618" s="43"/>
      <c r="T618" s="43"/>
    </row>
    <row r="619">
      <c r="R619" s="43"/>
      <c r="S619" s="43"/>
      <c r="T619" s="43"/>
    </row>
    <row r="620">
      <c r="R620" s="43"/>
      <c r="S620" s="43"/>
      <c r="T620" s="43"/>
    </row>
    <row r="621">
      <c r="R621" s="43"/>
      <c r="S621" s="43"/>
      <c r="T621" s="43"/>
    </row>
    <row r="622">
      <c r="R622" s="43"/>
      <c r="S622" s="43"/>
      <c r="T622" s="43"/>
    </row>
    <row r="623">
      <c r="R623" s="43"/>
      <c r="S623" s="43"/>
      <c r="T623" s="43"/>
    </row>
    <row r="624">
      <c r="R624" s="43"/>
      <c r="S624" s="43"/>
      <c r="T624" s="43"/>
    </row>
    <row r="625">
      <c r="R625" s="43"/>
      <c r="S625" s="43"/>
      <c r="T625" s="43"/>
    </row>
    <row r="626">
      <c r="R626" s="43"/>
      <c r="S626" s="43"/>
      <c r="T626" s="43"/>
    </row>
    <row r="627">
      <c r="R627" s="43"/>
      <c r="S627" s="43"/>
      <c r="T627" s="43"/>
    </row>
    <row r="628">
      <c r="R628" s="43"/>
      <c r="S628" s="43"/>
      <c r="T628" s="43"/>
    </row>
    <row r="629">
      <c r="R629" s="43"/>
      <c r="S629" s="43"/>
      <c r="T629" s="43"/>
    </row>
    <row r="630">
      <c r="R630" s="43"/>
      <c r="S630" s="43"/>
      <c r="T630" s="43"/>
    </row>
    <row r="631">
      <c r="R631" s="43"/>
      <c r="S631" s="43"/>
      <c r="T631" s="43"/>
    </row>
    <row r="632">
      <c r="R632" s="43"/>
      <c r="S632" s="43"/>
      <c r="T632" s="43"/>
    </row>
    <row r="633">
      <c r="R633" s="43"/>
      <c r="S633" s="43"/>
      <c r="T633" s="43"/>
    </row>
    <row r="634">
      <c r="R634" s="43"/>
      <c r="S634" s="43"/>
      <c r="T634" s="43"/>
    </row>
    <row r="635">
      <c r="R635" s="43"/>
      <c r="S635" s="43"/>
      <c r="T635" s="43"/>
    </row>
    <row r="636">
      <c r="R636" s="43"/>
      <c r="S636" s="43"/>
      <c r="T636" s="43"/>
    </row>
    <row r="637">
      <c r="R637" s="43"/>
      <c r="S637" s="43"/>
      <c r="T637" s="43"/>
    </row>
    <row r="638">
      <c r="R638" s="43"/>
      <c r="S638" s="43"/>
      <c r="T638" s="43"/>
    </row>
    <row r="639">
      <c r="R639" s="43"/>
      <c r="S639" s="43"/>
      <c r="T639" s="43"/>
    </row>
    <row r="640">
      <c r="R640" s="43"/>
      <c r="S640" s="43"/>
      <c r="T640" s="43"/>
    </row>
    <row r="641">
      <c r="R641" s="43"/>
      <c r="S641" s="43"/>
      <c r="T641" s="43"/>
    </row>
    <row r="642">
      <c r="R642" s="43"/>
      <c r="S642" s="43"/>
      <c r="T642" s="43"/>
    </row>
    <row r="643">
      <c r="R643" s="43"/>
      <c r="S643" s="43"/>
      <c r="T643" s="43"/>
    </row>
    <row r="644">
      <c r="R644" s="43"/>
      <c r="S644" s="43"/>
      <c r="T644" s="43"/>
    </row>
    <row r="645">
      <c r="R645" s="43"/>
      <c r="S645" s="43"/>
      <c r="T645" s="43"/>
    </row>
    <row r="646">
      <c r="R646" s="43"/>
      <c r="S646" s="43"/>
      <c r="T646" s="43"/>
    </row>
    <row r="647">
      <c r="R647" s="43"/>
      <c r="S647" s="43"/>
      <c r="T647" s="43"/>
    </row>
    <row r="648">
      <c r="R648" s="43"/>
      <c r="S648" s="43"/>
      <c r="T648" s="43"/>
    </row>
    <row r="649">
      <c r="R649" s="43"/>
      <c r="S649" s="43"/>
      <c r="T649" s="43"/>
    </row>
    <row r="650">
      <c r="R650" s="43"/>
      <c r="S650" s="43"/>
      <c r="T650" s="43"/>
    </row>
    <row r="651">
      <c r="R651" s="43"/>
      <c r="S651" s="43"/>
      <c r="T651" s="43"/>
    </row>
    <row r="652">
      <c r="R652" s="43"/>
      <c r="S652" s="43"/>
      <c r="T652" s="43"/>
    </row>
    <row r="653">
      <c r="R653" s="43"/>
      <c r="S653" s="43"/>
      <c r="T653" s="43"/>
    </row>
    <row r="654">
      <c r="R654" s="43"/>
      <c r="S654" s="43"/>
      <c r="T654" s="43"/>
    </row>
    <row r="655">
      <c r="R655" s="43"/>
      <c r="S655" s="43"/>
      <c r="T655" s="43"/>
    </row>
    <row r="656">
      <c r="R656" s="43"/>
      <c r="S656" s="43"/>
      <c r="T656" s="43"/>
    </row>
    <row r="657">
      <c r="R657" s="43"/>
      <c r="S657" s="43"/>
      <c r="T657" s="43"/>
    </row>
    <row r="658">
      <c r="R658" s="43"/>
      <c r="S658" s="43"/>
      <c r="T658" s="43"/>
    </row>
    <row r="659">
      <c r="R659" s="43"/>
      <c r="S659" s="43"/>
      <c r="T659" s="43"/>
    </row>
    <row r="660">
      <c r="R660" s="43"/>
      <c r="S660" s="43"/>
      <c r="T660" s="43"/>
    </row>
    <row r="661">
      <c r="R661" s="43"/>
      <c r="S661" s="43"/>
      <c r="T661" s="43"/>
    </row>
    <row r="662">
      <c r="R662" s="43"/>
      <c r="S662" s="43"/>
      <c r="T662" s="43"/>
    </row>
    <row r="663">
      <c r="R663" s="43"/>
      <c r="S663" s="43"/>
      <c r="T663" s="43"/>
    </row>
    <row r="664">
      <c r="R664" s="43"/>
      <c r="S664" s="43"/>
      <c r="T664" s="43"/>
    </row>
    <row r="665">
      <c r="R665" s="43"/>
      <c r="S665" s="43"/>
      <c r="T665" s="43"/>
    </row>
    <row r="666">
      <c r="R666" s="43"/>
      <c r="S666" s="43"/>
      <c r="T666" s="43"/>
    </row>
    <row r="667">
      <c r="R667" s="43"/>
      <c r="S667" s="43"/>
      <c r="T667" s="43"/>
    </row>
    <row r="668">
      <c r="R668" s="43"/>
      <c r="S668" s="43"/>
      <c r="T668" s="43"/>
    </row>
    <row r="669">
      <c r="R669" s="43"/>
      <c r="S669" s="43"/>
      <c r="T669" s="43"/>
    </row>
    <row r="670">
      <c r="R670" s="43"/>
      <c r="S670" s="43"/>
      <c r="T670" s="43"/>
    </row>
    <row r="671">
      <c r="R671" s="43"/>
      <c r="S671" s="43"/>
      <c r="T671" s="43"/>
    </row>
    <row r="672">
      <c r="R672" s="43"/>
      <c r="S672" s="43"/>
      <c r="T672" s="43"/>
    </row>
    <row r="673">
      <c r="R673" s="43"/>
      <c r="S673" s="43"/>
      <c r="T673" s="43"/>
    </row>
    <row r="674">
      <c r="R674" s="43"/>
      <c r="S674" s="43"/>
      <c r="T674" s="43"/>
    </row>
    <row r="675">
      <c r="R675" s="43"/>
      <c r="S675" s="43"/>
      <c r="T675" s="43"/>
    </row>
    <row r="676">
      <c r="R676" s="43"/>
      <c r="S676" s="43"/>
      <c r="T676" s="43"/>
    </row>
    <row r="677">
      <c r="R677" s="43"/>
      <c r="S677" s="43"/>
      <c r="T677" s="43"/>
    </row>
    <row r="678">
      <c r="R678" s="43"/>
      <c r="S678" s="43"/>
      <c r="T678" s="43"/>
    </row>
    <row r="679">
      <c r="R679" s="43"/>
      <c r="S679" s="43"/>
      <c r="T679" s="43"/>
    </row>
    <row r="680">
      <c r="R680" s="43"/>
      <c r="S680" s="43"/>
      <c r="T680" s="43"/>
    </row>
    <row r="681">
      <c r="R681" s="43"/>
      <c r="S681" s="43"/>
      <c r="T681" s="43"/>
    </row>
    <row r="682">
      <c r="R682" s="43"/>
      <c r="S682" s="43"/>
      <c r="T682" s="43"/>
    </row>
    <row r="683">
      <c r="R683" s="43"/>
      <c r="S683" s="43"/>
      <c r="T683" s="43"/>
    </row>
    <row r="684">
      <c r="R684" s="43"/>
      <c r="S684" s="43"/>
      <c r="T684" s="43"/>
    </row>
    <row r="685">
      <c r="R685" s="43"/>
      <c r="S685" s="43"/>
      <c r="T685" s="43"/>
    </row>
    <row r="686">
      <c r="R686" s="43"/>
      <c r="S686" s="43"/>
      <c r="T686" s="43"/>
    </row>
    <row r="687">
      <c r="R687" s="43"/>
      <c r="S687" s="43"/>
      <c r="T687" s="43"/>
    </row>
    <row r="688">
      <c r="R688" s="43"/>
      <c r="S688" s="43"/>
      <c r="T688" s="43"/>
    </row>
    <row r="689">
      <c r="R689" s="43"/>
      <c r="S689" s="43"/>
      <c r="T689" s="43"/>
    </row>
    <row r="690">
      <c r="R690" s="43"/>
      <c r="S690" s="43"/>
      <c r="T690" s="43"/>
    </row>
    <row r="691">
      <c r="R691" s="43"/>
      <c r="S691" s="43"/>
      <c r="T691" s="43"/>
    </row>
    <row r="692">
      <c r="R692" s="43"/>
      <c r="S692" s="43"/>
      <c r="T692" s="43"/>
    </row>
    <row r="693">
      <c r="R693" s="43"/>
      <c r="S693" s="43"/>
      <c r="T693" s="43"/>
    </row>
    <row r="694">
      <c r="R694" s="43"/>
      <c r="S694" s="43"/>
      <c r="T694" s="43"/>
    </row>
    <row r="695">
      <c r="R695" s="43"/>
      <c r="S695" s="43"/>
      <c r="T695" s="43"/>
    </row>
    <row r="696">
      <c r="R696" s="43"/>
      <c r="S696" s="43"/>
      <c r="T696" s="43"/>
    </row>
    <row r="697">
      <c r="R697" s="43"/>
      <c r="S697" s="43"/>
      <c r="T697" s="43"/>
    </row>
    <row r="698">
      <c r="R698" s="43"/>
      <c r="S698" s="43"/>
      <c r="T698" s="43"/>
    </row>
    <row r="699">
      <c r="R699" s="43"/>
      <c r="S699" s="43"/>
      <c r="T699" s="43"/>
    </row>
    <row r="700">
      <c r="R700" s="43"/>
      <c r="S700" s="43"/>
      <c r="T700" s="43"/>
    </row>
    <row r="701">
      <c r="R701" s="43"/>
      <c r="S701" s="43"/>
      <c r="T701" s="43"/>
    </row>
    <row r="702">
      <c r="R702" s="43"/>
      <c r="S702" s="43"/>
      <c r="T702" s="43"/>
    </row>
    <row r="703">
      <c r="R703" s="43"/>
      <c r="S703" s="43"/>
      <c r="T703" s="43"/>
    </row>
    <row r="704">
      <c r="R704" s="43"/>
      <c r="S704" s="43"/>
      <c r="T704" s="43"/>
    </row>
    <row r="705">
      <c r="R705" s="43"/>
      <c r="S705" s="43"/>
      <c r="T705" s="43"/>
    </row>
    <row r="706">
      <c r="R706" s="43"/>
      <c r="S706" s="43"/>
      <c r="T706" s="43"/>
    </row>
    <row r="707">
      <c r="R707" s="43"/>
      <c r="S707" s="43"/>
      <c r="T707" s="43"/>
    </row>
    <row r="708">
      <c r="R708" s="43"/>
      <c r="S708" s="43"/>
      <c r="T708" s="43"/>
    </row>
    <row r="709">
      <c r="R709" s="43"/>
      <c r="S709" s="43"/>
      <c r="T709" s="43"/>
    </row>
    <row r="710">
      <c r="R710" s="43"/>
      <c r="S710" s="43"/>
      <c r="T710" s="43"/>
    </row>
    <row r="711">
      <c r="R711" s="43"/>
      <c r="S711" s="43"/>
      <c r="T711" s="43"/>
    </row>
    <row r="712">
      <c r="R712" s="43"/>
      <c r="S712" s="43"/>
      <c r="T712" s="43"/>
    </row>
    <row r="713">
      <c r="R713" s="43"/>
      <c r="S713" s="43"/>
      <c r="T713" s="43"/>
    </row>
    <row r="714">
      <c r="R714" s="43"/>
      <c r="S714" s="43"/>
      <c r="T714" s="43"/>
    </row>
    <row r="715">
      <c r="R715" s="43"/>
      <c r="S715" s="43"/>
      <c r="T715" s="43"/>
    </row>
    <row r="716">
      <c r="R716" s="43"/>
      <c r="S716" s="43"/>
      <c r="T716" s="43"/>
    </row>
    <row r="717">
      <c r="R717" s="43"/>
      <c r="S717" s="43"/>
      <c r="T717" s="43"/>
    </row>
    <row r="718">
      <c r="R718" s="43"/>
      <c r="S718" s="43"/>
      <c r="T718" s="43"/>
    </row>
    <row r="719">
      <c r="R719" s="43"/>
      <c r="S719" s="43"/>
      <c r="T719" s="43"/>
    </row>
    <row r="720">
      <c r="R720" s="43"/>
      <c r="S720" s="43"/>
      <c r="T720" s="43"/>
    </row>
    <row r="721">
      <c r="R721" s="43"/>
      <c r="S721" s="43"/>
      <c r="T721" s="43"/>
    </row>
    <row r="722">
      <c r="R722" s="43"/>
      <c r="S722" s="43"/>
      <c r="T722" s="43"/>
    </row>
    <row r="723">
      <c r="R723" s="43"/>
      <c r="S723" s="43"/>
      <c r="T723" s="43"/>
    </row>
    <row r="724">
      <c r="R724" s="43"/>
      <c r="S724" s="43"/>
      <c r="T724" s="43"/>
    </row>
    <row r="725">
      <c r="R725" s="43"/>
      <c r="S725" s="43"/>
      <c r="T725" s="43"/>
    </row>
    <row r="726">
      <c r="R726" s="43"/>
      <c r="S726" s="43"/>
      <c r="T726" s="43"/>
    </row>
    <row r="727">
      <c r="R727" s="43"/>
      <c r="S727" s="43"/>
      <c r="T727" s="43"/>
    </row>
    <row r="728">
      <c r="R728" s="43"/>
      <c r="S728" s="43"/>
      <c r="T728" s="43"/>
    </row>
    <row r="729">
      <c r="R729" s="43"/>
      <c r="S729" s="43"/>
      <c r="T729" s="43"/>
    </row>
    <row r="730">
      <c r="R730" s="43"/>
      <c r="S730" s="43"/>
      <c r="T730" s="43"/>
    </row>
    <row r="731">
      <c r="R731" s="43"/>
      <c r="S731" s="43"/>
      <c r="T731" s="43"/>
    </row>
    <row r="732">
      <c r="R732" s="43"/>
      <c r="S732" s="43"/>
      <c r="T732" s="43"/>
    </row>
    <row r="733">
      <c r="R733" s="43"/>
      <c r="S733" s="43"/>
      <c r="T733" s="43"/>
    </row>
    <row r="734">
      <c r="R734" s="43"/>
      <c r="S734" s="43"/>
      <c r="T734" s="43"/>
    </row>
    <row r="735">
      <c r="R735" s="43"/>
      <c r="S735" s="43"/>
      <c r="T735" s="43"/>
    </row>
    <row r="736">
      <c r="R736" s="43"/>
      <c r="S736" s="43"/>
      <c r="T736" s="43"/>
    </row>
    <row r="737">
      <c r="R737" s="43"/>
      <c r="S737" s="43"/>
      <c r="T737" s="43"/>
    </row>
    <row r="738">
      <c r="R738" s="43"/>
      <c r="S738" s="43"/>
      <c r="T738" s="43"/>
    </row>
    <row r="739">
      <c r="R739" s="43"/>
      <c r="S739" s="43"/>
      <c r="T739" s="43"/>
    </row>
    <row r="740">
      <c r="R740" s="43"/>
      <c r="S740" s="43"/>
      <c r="T740" s="43"/>
    </row>
    <row r="741">
      <c r="R741" s="43"/>
      <c r="S741" s="43"/>
      <c r="T741" s="43"/>
    </row>
    <row r="742">
      <c r="R742" s="43"/>
      <c r="S742" s="43"/>
      <c r="T742" s="43"/>
    </row>
    <row r="743">
      <c r="R743" s="43"/>
      <c r="S743" s="43"/>
      <c r="T743" s="43"/>
    </row>
    <row r="744">
      <c r="R744" s="43"/>
      <c r="S744" s="43"/>
      <c r="T744" s="43"/>
    </row>
    <row r="745">
      <c r="R745" s="43"/>
      <c r="S745" s="43"/>
      <c r="T745" s="43"/>
    </row>
    <row r="746">
      <c r="R746" s="43"/>
      <c r="S746" s="43"/>
      <c r="T746" s="43"/>
    </row>
    <row r="747">
      <c r="R747" s="43"/>
      <c r="S747" s="43"/>
      <c r="T747" s="43"/>
    </row>
    <row r="748">
      <c r="R748" s="43"/>
      <c r="S748" s="43"/>
      <c r="T748" s="43"/>
    </row>
    <row r="749">
      <c r="R749" s="43"/>
      <c r="S749" s="43"/>
      <c r="T749" s="43"/>
    </row>
    <row r="750">
      <c r="R750" s="43"/>
      <c r="S750" s="43"/>
      <c r="T750" s="43"/>
    </row>
    <row r="751">
      <c r="R751" s="43"/>
      <c r="S751" s="43"/>
      <c r="T751" s="43"/>
    </row>
    <row r="752">
      <c r="R752" s="43"/>
      <c r="S752" s="43"/>
      <c r="T752" s="43"/>
    </row>
    <row r="753">
      <c r="R753" s="43"/>
      <c r="S753" s="43"/>
      <c r="T753" s="43"/>
    </row>
    <row r="754">
      <c r="R754" s="43"/>
      <c r="S754" s="43"/>
      <c r="T754" s="43"/>
    </row>
    <row r="755">
      <c r="R755" s="43"/>
      <c r="S755" s="43"/>
      <c r="T755" s="43"/>
    </row>
    <row r="756">
      <c r="R756" s="43"/>
      <c r="S756" s="43"/>
      <c r="T756" s="43"/>
    </row>
    <row r="757">
      <c r="R757" s="43"/>
      <c r="S757" s="43"/>
      <c r="T757" s="43"/>
    </row>
    <row r="758">
      <c r="R758" s="43"/>
      <c r="S758" s="43"/>
      <c r="T758" s="43"/>
    </row>
    <row r="759">
      <c r="R759" s="43"/>
      <c r="S759" s="43"/>
      <c r="T759" s="43"/>
    </row>
    <row r="760">
      <c r="R760" s="43"/>
      <c r="S760" s="43"/>
      <c r="T760" s="43"/>
    </row>
    <row r="761">
      <c r="R761" s="43"/>
      <c r="S761" s="43"/>
      <c r="T761" s="43"/>
    </row>
    <row r="762">
      <c r="R762" s="43"/>
      <c r="S762" s="43"/>
      <c r="T762" s="43"/>
    </row>
    <row r="763">
      <c r="R763" s="43"/>
      <c r="S763" s="43"/>
      <c r="T763" s="43"/>
    </row>
    <row r="764">
      <c r="R764" s="43"/>
      <c r="S764" s="43"/>
      <c r="T764" s="43"/>
    </row>
    <row r="765">
      <c r="R765" s="43"/>
      <c r="S765" s="43"/>
      <c r="T765" s="43"/>
    </row>
    <row r="766">
      <c r="R766" s="43"/>
      <c r="S766" s="43"/>
      <c r="T766" s="43"/>
    </row>
    <row r="767">
      <c r="R767" s="43"/>
      <c r="S767" s="43"/>
      <c r="T767" s="43"/>
    </row>
    <row r="768">
      <c r="R768" s="43"/>
      <c r="S768" s="43"/>
      <c r="T768" s="43"/>
    </row>
    <row r="769">
      <c r="R769" s="43"/>
      <c r="S769" s="43"/>
      <c r="T769" s="43"/>
    </row>
    <row r="770">
      <c r="R770" s="43"/>
      <c r="S770" s="43"/>
      <c r="T770" s="43"/>
    </row>
    <row r="771">
      <c r="R771" s="43"/>
      <c r="S771" s="43"/>
      <c r="T771" s="43"/>
    </row>
    <row r="772">
      <c r="R772" s="43"/>
      <c r="S772" s="43"/>
      <c r="T772" s="43"/>
    </row>
    <row r="773">
      <c r="R773" s="43"/>
      <c r="S773" s="43"/>
      <c r="T773" s="43"/>
    </row>
    <row r="774">
      <c r="R774" s="43"/>
      <c r="S774" s="43"/>
      <c r="T774" s="43"/>
    </row>
    <row r="775">
      <c r="R775" s="43"/>
      <c r="S775" s="43"/>
      <c r="T775" s="43"/>
    </row>
    <row r="776">
      <c r="R776" s="43"/>
      <c r="S776" s="43"/>
      <c r="T776" s="43"/>
    </row>
    <row r="777">
      <c r="R777" s="43"/>
      <c r="S777" s="43"/>
      <c r="T777" s="43"/>
    </row>
    <row r="778">
      <c r="R778" s="43"/>
      <c r="S778" s="43"/>
      <c r="T778" s="43"/>
    </row>
    <row r="779">
      <c r="R779" s="43"/>
      <c r="S779" s="43"/>
      <c r="T779" s="43"/>
    </row>
    <row r="780">
      <c r="R780" s="43"/>
      <c r="S780" s="43"/>
      <c r="T780" s="43"/>
    </row>
    <row r="781">
      <c r="R781" s="43"/>
      <c r="S781" s="43"/>
      <c r="T781" s="43"/>
    </row>
    <row r="782">
      <c r="R782" s="43"/>
      <c r="S782" s="43"/>
      <c r="T782" s="43"/>
    </row>
    <row r="783">
      <c r="R783" s="43"/>
      <c r="S783" s="43"/>
      <c r="T783" s="43"/>
    </row>
    <row r="784">
      <c r="R784" s="43"/>
      <c r="S784" s="43"/>
      <c r="T784" s="43"/>
    </row>
    <row r="785">
      <c r="R785" s="43"/>
      <c r="S785" s="43"/>
      <c r="T785" s="43"/>
    </row>
    <row r="786">
      <c r="R786" s="43"/>
      <c r="S786" s="43"/>
      <c r="T786" s="43"/>
    </row>
    <row r="787">
      <c r="R787" s="43"/>
      <c r="S787" s="43"/>
      <c r="T787" s="43"/>
    </row>
    <row r="788">
      <c r="R788" s="43"/>
      <c r="S788" s="43"/>
      <c r="T788" s="43"/>
    </row>
    <row r="789">
      <c r="R789" s="43"/>
      <c r="S789" s="43"/>
      <c r="T789" s="43"/>
    </row>
    <row r="790">
      <c r="R790" s="43"/>
      <c r="S790" s="43"/>
      <c r="T790" s="43"/>
    </row>
    <row r="791">
      <c r="R791" s="43"/>
      <c r="S791" s="43"/>
      <c r="T791" s="43"/>
    </row>
    <row r="792">
      <c r="R792" s="43"/>
      <c r="S792" s="43"/>
      <c r="T792" s="43"/>
    </row>
    <row r="793">
      <c r="R793" s="43"/>
      <c r="S793" s="43"/>
      <c r="T793" s="43"/>
    </row>
    <row r="794">
      <c r="R794" s="43"/>
      <c r="S794" s="43"/>
      <c r="T794" s="43"/>
    </row>
    <row r="795">
      <c r="R795" s="43"/>
      <c r="S795" s="43"/>
      <c r="T795" s="43"/>
    </row>
    <row r="796">
      <c r="R796" s="43"/>
      <c r="S796" s="43"/>
      <c r="T796" s="43"/>
    </row>
    <row r="797">
      <c r="R797" s="43"/>
      <c r="S797" s="43"/>
      <c r="T797" s="43"/>
    </row>
    <row r="798">
      <c r="R798" s="43"/>
      <c r="S798" s="43"/>
      <c r="T798" s="43"/>
    </row>
    <row r="799">
      <c r="R799" s="43"/>
      <c r="S799" s="43"/>
      <c r="T799" s="43"/>
    </row>
    <row r="800">
      <c r="R800" s="43"/>
      <c r="S800" s="43"/>
      <c r="T800" s="43"/>
    </row>
    <row r="801">
      <c r="R801" s="43"/>
      <c r="S801" s="43"/>
      <c r="T801" s="43"/>
    </row>
    <row r="802">
      <c r="R802" s="43"/>
      <c r="S802" s="43"/>
      <c r="T802" s="43"/>
    </row>
    <row r="803">
      <c r="R803" s="43"/>
      <c r="S803" s="43"/>
      <c r="T803" s="43"/>
    </row>
    <row r="804">
      <c r="R804" s="43"/>
      <c r="S804" s="43"/>
      <c r="T804" s="43"/>
    </row>
    <row r="805">
      <c r="R805" s="43"/>
      <c r="S805" s="43"/>
      <c r="T805" s="43"/>
    </row>
    <row r="806">
      <c r="R806" s="43"/>
      <c r="S806" s="43"/>
      <c r="T806" s="43"/>
    </row>
    <row r="807">
      <c r="R807" s="43"/>
      <c r="S807" s="43"/>
      <c r="T807" s="43"/>
    </row>
    <row r="808">
      <c r="R808" s="43"/>
      <c r="S808" s="43"/>
      <c r="T808" s="43"/>
    </row>
    <row r="809">
      <c r="R809" s="43"/>
      <c r="S809" s="43"/>
      <c r="T809" s="43"/>
    </row>
    <row r="810">
      <c r="R810" s="43"/>
      <c r="S810" s="43"/>
      <c r="T810" s="43"/>
    </row>
    <row r="811">
      <c r="R811" s="43"/>
      <c r="S811" s="43"/>
      <c r="T811" s="43"/>
    </row>
    <row r="812">
      <c r="R812" s="43"/>
      <c r="S812" s="43"/>
      <c r="T812" s="43"/>
    </row>
    <row r="813">
      <c r="R813" s="43"/>
      <c r="S813" s="43"/>
      <c r="T813" s="43"/>
    </row>
    <row r="814">
      <c r="R814" s="43"/>
      <c r="S814" s="43"/>
      <c r="T814" s="43"/>
    </row>
    <row r="815">
      <c r="R815" s="43"/>
      <c r="S815" s="43"/>
      <c r="T815" s="43"/>
    </row>
    <row r="816">
      <c r="R816" s="43"/>
      <c r="S816" s="43"/>
      <c r="T816" s="43"/>
    </row>
    <row r="817">
      <c r="R817" s="43"/>
      <c r="S817" s="43"/>
      <c r="T817" s="43"/>
    </row>
    <row r="818">
      <c r="R818" s="43"/>
      <c r="S818" s="43"/>
      <c r="T818" s="43"/>
    </row>
    <row r="819">
      <c r="R819" s="43"/>
      <c r="S819" s="43"/>
      <c r="T819" s="43"/>
    </row>
    <row r="820">
      <c r="R820" s="43"/>
      <c r="S820" s="43"/>
      <c r="T820" s="43"/>
    </row>
    <row r="821">
      <c r="R821" s="43"/>
      <c r="S821" s="43"/>
      <c r="T821" s="43"/>
    </row>
    <row r="822">
      <c r="R822" s="43"/>
      <c r="S822" s="43"/>
      <c r="T822" s="43"/>
    </row>
    <row r="823">
      <c r="R823" s="43"/>
      <c r="S823" s="43"/>
      <c r="T823" s="43"/>
    </row>
    <row r="824">
      <c r="R824" s="43"/>
      <c r="S824" s="43"/>
      <c r="T824" s="43"/>
    </row>
    <row r="825">
      <c r="R825" s="43"/>
      <c r="S825" s="43"/>
      <c r="T825" s="43"/>
    </row>
    <row r="826">
      <c r="R826" s="43"/>
      <c r="S826" s="43"/>
      <c r="T826" s="43"/>
    </row>
    <row r="827">
      <c r="R827" s="43"/>
      <c r="S827" s="43"/>
      <c r="T827" s="43"/>
    </row>
    <row r="828">
      <c r="R828" s="43"/>
      <c r="S828" s="43"/>
      <c r="T828" s="43"/>
    </row>
    <row r="829">
      <c r="R829" s="43"/>
      <c r="S829" s="43"/>
      <c r="T829" s="43"/>
    </row>
    <row r="830">
      <c r="R830" s="43"/>
      <c r="S830" s="43"/>
      <c r="T830" s="43"/>
    </row>
    <row r="831">
      <c r="R831" s="43"/>
      <c r="S831" s="43"/>
      <c r="T831" s="43"/>
    </row>
    <row r="832">
      <c r="R832" s="43"/>
      <c r="S832" s="43"/>
      <c r="T832" s="43"/>
    </row>
    <row r="833">
      <c r="R833" s="43"/>
      <c r="S833" s="43"/>
      <c r="T833" s="43"/>
    </row>
    <row r="834">
      <c r="R834" s="43"/>
      <c r="S834" s="43"/>
      <c r="T834" s="43"/>
    </row>
    <row r="835">
      <c r="R835" s="43"/>
      <c r="S835" s="43"/>
      <c r="T835" s="43"/>
    </row>
    <row r="836">
      <c r="R836" s="43"/>
      <c r="S836" s="43"/>
      <c r="T836" s="43"/>
    </row>
    <row r="837">
      <c r="R837" s="43"/>
      <c r="S837" s="43"/>
      <c r="T837" s="43"/>
    </row>
    <row r="838">
      <c r="R838" s="43"/>
      <c r="S838" s="43"/>
      <c r="T838" s="43"/>
    </row>
    <row r="839">
      <c r="R839" s="43"/>
      <c r="S839" s="43"/>
      <c r="T839" s="43"/>
    </row>
    <row r="840">
      <c r="R840" s="43"/>
      <c r="S840" s="43"/>
      <c r="T840" s="43"/>
    </row>
    <row r="841">
      <c r="R841" s="43"/>
      <c r="S841" s="43"/>
      <c r="T841" s="43"/>
    </row>
    <row r="842">
      <c r="R842" s="43"/>
      <c r="S842" s="43"/>
      <c r="T842" s="43"/>
    </row>
    <row r="843">
      <c r="R843" s="43"/>
      <c r="S843" s="43"/>
      <c r="T843" s="43"/>
    </row>
    <row r="844">
      <c r="R844" s="43"/>
      <c r="S844" s="43"/>
      <c r="T844" s="43"/>
    </row>
    <row r="845">
      <c r="R845" s="43"/>
      <c r="S845" s="43"/>
      <c r="T845" s="43"/>
    </row>
    <row r="846">
      <c r="R846" s="43"/>
      <c r="S846" s="43"/>
      <c r="T846" s="43"/>
    </row>
    <row r="847">
      <c r="R847" s="43"/>
      <c r="S847" s="43"/>
      <c r="T847" s="43"/>
    </row>
    <row r="848">
      <c r="R848" s="43"/>
      <c r="S848" s="43"/>
      <c r="T848" s="43"/>
    </row>
    <row r="849">
      <c r="R849" s="43"/>
      <c r="S849" s="43"/>
      <c r="T849" s="43"/>
    </row>
    <row r="850">
      <c r="R850" s="43"/>
      <c r="S850" s="43"/>
      <c r="T850" s="43"/>
    </row>
    <row r="851">
      <c r="R851" s="43"/>
      <c r="S851" s="43"/>
      <c r="T851" s="43"/>
    </row>
    <row r="852">
      <c r="R852" s="43"/>
      <c r="S852" s="43"/>
      <c r="T852" s="43"/>
    </row>
    <row r="853">
      <c r="R853" s="43"/>
      <c r="S853" s="43"/>
      <c r="T853" s="43"/>
    </row>
    <row r="854">
      <c r="R854" s="43"/>
      <c r="S854" s="43"/>
      <c r="T854" s="43"/>
    </row>
    <row r="855">
      <c r="R855" s="43"/>
      <c r="S855" s="43"/>
      <c r="T855" s="43"/>
    </row>
    <row r="856">
      <c r="R856" s="43"/>
      <c r="S856" s="43"/>
      <c r="T856" s="43"/>
    </row>
    <row r="857">
      <c r="R857" s="43"/>
      <c r="S857" s="43"/>
      <c r="T857" s="43"/>
    </row>
    <row r="858">
      <c r="R858" s="43"/>
      <c r="S858" s="43"/>
      <c r="T858" s="43"/>
    </row>
    <row r="859">
      <c r="R859" s="43"/>
      <c r="S859" s="43"/>
      <c r="T859" s="43"/>
    </row>
    <row r="860">
      <c r="R860" s="43"/>
      <c r="S860" s="43"/>
      <c r="T860" s="43"/>
    </row>
    <row r="861">
      <c r="R861" s="43"/>
      <c r="S861" s="43"/>
      <c r="T861" s="43"/>
    </row>
    <row r="862">
      <c r="R862" s="43"/>
      <c r="S862" s="43"/>
      <c r="T862" s="43"/>
    </row>
    <row r="863">
      <c r="R863" s="43"/>
      <c r="S863" s="43"/>
      <c r="T863" s="43"/>
    </row>
    <row r="864">
      <c r="R864" s="43"/>
      <c r="S864" s="43"/>
      <c r="T864" s="43"/>
    </row>
    <row r="865">
      <c r="R865" s="43"/>
      <c r="S865" s="43"/>
      <c r="T865" s="43"/>
    </row>
    <row r="866">
      <c r="R866" s="43"/>
      <c r="S866" s="43"/>
      <c r="T866" s="43"/>
    </row>
    <row r="867">
      <c r="R867" s="43"/>
      <c r="S867" s="43"/>
      <c r="T867" s="43"/>
    </row>
    <row r="868">
      <c r="R868" s="43"/>
      <c r="S868" s="43"/>
      <c r="T868" s="43"/>
    </row>
    <row r="869">
      <c r="R869" s="43"/>
      <c r="S869" s="43"/>
      <c r="T869" s="43"/>
    </row>
    <row r="870">
      <c r="R870" s="43"/>
      <c r="S870" s="43"/>
      <c r="T870" s="43"/>
    </row>
    <row r="871">
      <c r="R871" s="43"/>
      <c r="S871" s="43"/>
      <c r="T871" s="43"/>
    </row>
    <row r="872">
      <c r="R872" s="43"/>
      <c r="S872" s="43"/>
      <c r="T872" s="43"/>
    </row>
    <row r="873">
      <c r="R873" s="43"/>
      <c r="S873" s="43"/>
      <c r="T873" s="43"/>
    </row>
    <row r="874">
      <c r="R874" s="43"/>
      <c r="S874" s="43"/>
      <c r="T874" s="43"/>
    </row>
    <row r="875">
      <c r="R875" s="43"/>
      <c r="S875" s="43"/>
      <c r="T875" s="43"/>
    </row>
    <row r="876">
      <c r="R876" s="43"/>
      <c r="S876" s="43"/>
      <c r="T876" s="43"/>
    </row>
    <row r="877">
      <c r="R877" s="43"/>
      <c r="S877" s="43"/>
      <c r="T877" s="43"/>
    </row>
    <row r="878">
      <c r="R878" s="43"/>
      <c r="S878" s="43"/>
      <c r="T878" s="43"/>
    </row>
    <row r="879">
      <c r="R879" s="43"/>
      <c r="S879" s="43"/>
      <c r="T879" s="43"/>
    </row>
    <row r="880">
      <c r="R880" s="43"/>
      <c r="S880" s="43"/>
      <c r="T880" s="43"/>
    </row>
    <row r="881">
      <c r="R881" s="43"/>
      <c r="S881" s="43"/>
      <c r="T881" s="43"/>
    </row>
    <row r="882">
      <c r="R882" s="43"/>
      <c r="S882" s="43"/>
      <c r="T882" s="43"/>
    </row>
    <row r="883">
      <c r="R883" s="43"/>
      <c r="S883" s="43"/>
      <c r="T883" s="43"/>
    </row>
    <row r="884">
      <c r="R884" s="43"/>
      <c r="S884" s="43"/>
      <c r="T884" s="43"/>
    </row>
    <row r="885">
      <c r="R885" s="43"/>
      <c r="S885" s="43"/>
      <c r="T885" s="43"/>
    </row>
    <row r="886">
      <c r="R886" s="43"/>
      <c r="S886" s="43"/>
      <c r="T886" s="43"/>
    </row>
    <row r="887">
      <c r="R887" s="43"/>
      <c r="S887" s="43"/>
      <c r="T887" s="43"/>
    </row>
    <row r="888">
      <c r="R888" s="43"/>
      <c r="S888" s="43"/>
      <c r="T888" s="43"/>
    </row>
    <row r="889">
      <c r="R889" s="43"/>
      <c r="S889" s="43"/>
      <c r="T889" s="43"/>
    </row>
    <row r="890">
      <c r="R890" s="43"/>
      <c r="S890" s="43"/>
      <c r="T890" s="43"/>
    </row>
    <row r="891">
      <c r="R891" s="43"/>
      <c r="S891" s="43"/>
      <c r="T891" s="43"/>
    </row>
    <row r="892">
      <c r="R892" s="43"/>
      <c r="S892" s="43"/>
      <c r="T892" s="43"/>
    </row>
    <row r="893">
      <c r="R893" s="43"/>
      <c r="S893" s="43"/>
      <c r="T893" s="43"/>
    </row>
    <row r="894">
      <c r="R894" s="43"/>
      <c r="S894" s="43"/>
      <c r="T894" s="43"/>
    </row>
    <row r="895">
      <c r="R895" s="43"/>
      <c r="S895" s="43"/>
      <c r="T895" s="43"/>
    </row>
    <row r="896">
      <c r="R896" s="43"/>
      <c r="S896" s="43"/>
      <c r="T896" s="43"/>
    </row>
    <row r="897">
      <c r="R897" s="43"/>
      <c r="S897" s="43"/>
      <c r="T897" s="43"/>
    </row>
    <row r="898">
      <c r="R898" s="43"/>
      <c r="S898" s="43"/>
      <c r="T898" s="43"/>
    </row>
    <row r="899">
      <c r="R899" s="43"/>
      <c r="S899" s="43"/>
      <c r="T899" s="43"/>
    </row>
    <row r="900">
      <c r="R900" s="43"/>
      <c r="S900" s="43"/>
      <c r="T900" s="43"/>
    </row>
    <row r="901">
      <c r="R901" s="43"/>
      <c r="S901" s="43"/>
      <c r="T901" s="43"/>
    </row>
    <row r="902">
      <c r="R902" s="43"/>
      <c r="S902" s="43"/>
      <c r="T902" s="43"/>
    </row>
    <row r="903">
      <c r="R903" s="43"/>
      <c r="S903" s="43"/>
      <c r="T903" s="43"/>
    </row>
    <row r="904">
      <c r="R904" s="43"/>
      <c r="S904" s="43"/>
      <c r="T904" s="43"/>
    </row>
    <row r="905">
      <c r="R905" s="43"/>
      <c r="S905" s="43"/>
      <c r="T905" s="43"/>
    </row>
    <row r="906">
      <c r="R906" s="43"/>
      <c r="S906" s="43"/>
      <c r="T906" s="43"/>
    </row>
    <row r="907">
      <c r="R907" s="43"/>
      <c r="S907" s="43"/>
      <c r="T907" s="43"/>
    </row>
    <row r="908">
      <c r="R908" s="43"/>
      <c r="S908" s="43"/>
      <c r="T908" s="43"/>
    </row>
    <row r="909">
      <c r="R909" s="43"/>
      <c r="S909" s="43"/>
      <c r="T909" s="43"/>
    </row>
    <row r="910">
      <c r="R910" s="43"/>
      <c r="S910" s="43"/>
      <c r="T910" s="43"/>
    </row>
    <row r="911">
      <c r="R911" s="43"/>
      <c r="S911" s="43"/>
      <c r="T911" s="43"/>
    </row>
    <row r="912">
      <c r="R912" s="43"/>
      <c r="S912" s="43"/>
      <c r="T912" s="43"/>
    </row>
    <row r="913">
      <c r="R913" s="43"/>
      <c r="S913" s="43"/>
      <c r="T913" s="43"/>
    </row>
    <row r="914">
      <c r="R914" s="43"/>
      <c r="S914" s="43"/>
      <c r="T914" s="43"/>
    </row>
    <row r="915">
      <c r="R915" s="43"/>
      <c r="S915" s="43"/>
      <c r="T915" s="43"/>
    </row>
    <row r="916">
      <c r="R916" s="43"/>
      <c r="S916" s="43"/>
      <c r="T916" s="43"/>
    </row>
    <row r="917">
      <c r="R917" s="43"/>
      <c r="S917" s="43"/>
      <c r="T917" s="43"/>
    </row>
    <row r="918">
      <c r="R918" s="43"/>
      <c r="S918" s="43"/>
      <c r="T918" s="43"/>
    </row>
    <row r="919">
      <c r="R919" s="43"/>
      <c r="S919" s="43"/>
      <c r="T919" s="43"/>
    </row>
    <row r="920">
      <c r="R920" s="43"/>
      <c r="S920" s="43"/>
      <c r="T920" s="43"/>
    </row>
    <row r="921">
      <c r="R921" s="43"/>
      <c r="S921" s="43"/>
      <c r="T921" s="43"/>
    </row>
    <row r="922">
      <c r="R922" s="43"/>
      <c r="S922" s="43"/>
      <c r="T922" s="43"/>
    </row>
    <row r="923">
      <c r="R923" s="43"/>
      <c r="S923" s="43"/>
      <c r="T923" s="43"/>
    </row>
    <row r="924">
      <c r="R924" s="43"/>
      <c r="S924" s="43"/>
      <c r="T924" s="43"/>
    </row>
    <row r="925">
      <c r="R925" s="43"/>
      <c r="S925" s="43"/>
      <c r="T925" s="43"/>
    </row>
    <row r="926">
      <c r="R926" s="43"/>
      <c r="S926" s="43"/>
      <c r="T926" s="43"/>
    </row>
    <row r="927">
      <c r="R927" s="43"/>
      <c r="S927" s="43"/>
      <c r="T927" s="43"/>
    </row>
    <row r="928">
      <c r="R928" s="43"/>
      <c r="S928" s="43"/>
      <c r="T928" s="43"/>
    </row>
    <row r="929">
      <c r="R929" s="43"/>
      <c r="S929" s="43"/>
      <c r="T929" s="43"/>
    </row>
    <row r="930">
      <c r="R930" s="43"/>
      <c r="S930" s="43"/>
      <c r="T930" s="43"/>
    </row>
    <row r="931">
      <c r="R931" s="43"/>
      <c r="S931" s="43"/>
      <c r="T931" s="43"/>
    </row>
    <row r="932">
      <c r="R932" s="43"/>
      <c r="S932" s="43"/>
      <c r="T932" s="43"/>
    </row>
    <row r="933">
      <c r="R933" s="43"/>
      <c r="S933" s="43"/>
      <c r="T933" s="43"/>
    </row>
    <row r="934">
      <c r="R934" s="43"/>
      <c r="S934" s="43"/>
      <c r="T934" s="43"/>
    </row>
    <row r="935">
      <c r="R935" s="43"/>
      <c r="S935" s="43"/>
      <c r="T935" s="43"/>
    </row>
    <row r="936">
      <c r="R936" s="43"/>
      <c r="S936" s="43"/>
      <c r="T936" s="43"/>
    </row>
    <row r="937">
      <c r="R937" s="43"/>
      <c r="S937" s="43"/>
      <c r="T937" s="43"/>
    </row>
    <row r="938">
      <c r="R938" s="43"/>
      <c r="S938" s="43"/>
      <c r="T938" s="43"/>
    </row>
    <row r="939">
      <c r="R939" s="43"/>
      <c r="S939" s="43"/>
      <c r="T939" s="43"/>
    </row>
    <row r="940">
      <c r="R940" s="43"/>
      <c r="S940" s="43"/>
      <c r="T940" s="43"/>
    </row>
    <row r="941">
      <c r="R941" s="43"/>
      <c r="S941" s="43"/>
      <c r="T941" s="43"/>
    </row>
    <row r="942">
      <c r="R942" s="43"/>
      <c r="S942" s="43"/>
      <c r="T942" s="43"/>
    </row>
    <row r="943">
      <c r="R943" s="43"/>
      <c r="S943" s="43"/>
      <c r="T943" s="43"/>
    </row>
    <row r="944">
      <c r="R944" s="43"/>
      <c r="S944" s="43"/>
      <c r="T944" s="43"/>
    </row>
    <row r="945">
      <c r="R945" s="43"/>
      <c r="S945" s="43"/>
      <c r="T945" s="43"/>
    </row>
    <row r="946">
      <c r="R946" s="43"/>
      <c r="S946" s="43"/>
      <c r="T946" s="43"/>
    </row>
    <row r="947">
      <c r="R947" s="43"/>
      <c r="S947" s="43"/>
      <c r="T947" s="43"/>
    </row>
    <row r="948">
      <c r="R948" s="43"/>
      <c r="S948" s="43"/>
      <c r="T948" s="43"/>
    </row>
    <row r="949">
      <c r="R949" s="43"/>
      <c r="S949" s="43"/>
      <c r="T949" s="43"/>
    </row>
    <row r="950">
      <c r="R950" s="43"/>
      <c r="S950" s="43"/>
      <c r="T950" s="43"/>
    </row>
    <row r="951">
      <c r="R951" s="43"/>
      <c r="S951" s="43"/>
      <c r="T951" s="43"/>
    </row>
    <row r="952">
      <c r="R952" s="43"/>
      <c r="S952" s="43"/>
      <c r="T952" s="43"/>
    </row>
    <row r="953">
      <c r="R953" s="43"/>
      <c r="S953" s="43"/>
      <c r="T953" s="43"/>
    </row>
    <row r="954">
      <c r="R954" s="43"/>
      <c r="S954" s="43"/>
      <c r="T954" s="43"/>
    </row>
    <row r="955">
      <c r="R955" s="43"/>
      <c r="S955" s="43"/>
      <c r="T955" s="43"/>
    </row>
    <row r="956">
      <c r="R956" s="43"/>
      <c r="S956" s="43"/>
      <c r="T956" s="43"/>
    </row>
    <row r="957">
      <c r="R957" s="43"/>
      <c r="S957" s="43"/>
      <c r="T957" s="43"/>
    </row>
    <row r="958">
      <c r="R958" s="43"/>
      <c r="S958" s="43"/>
      <c r="T958" s="43"/>
    </row>
    <row r="959">
      <c r="R959" s="43"/>
      <c r="S959" s="43"/>
      <c r="T959" s="43"/>
    </row>
    <row r="960">
      <c r="R960" s="43"/>
      <c r="S960" s="43"/>
      <c r="T960" s="43"/>
    </row>
    <row r="961">
      <c r="R961" s="43"/>
      <c r="S961" s="43"/>
      <c r="T961" s="43"/>
    </row>
    <row r="962">
      <c r="R962" s="43"/>
      <c r="S962" s="43"/>
      <c r="T962" s="43"/>
    </row>
    <row r="963">
      <c r="R963" s="43"/>
      <c r="S963" s="43"/>
      <c r="T963" s="43"/>
    </row>
    <row r="964">
      <c r="R964" s="43"/>
      <c r="S964" s="43"/>
      <c r="T964" s="43"/>
    </row>
    <row r="965">
      <c r="R965" s="43"/>
      <c r="S965" s="43"/>
      <c r="T965" s="43"/>
    </row>
    <row r="966">
      <c r="R966" s="43"/>
      <c r="S966" s="43"/>
      <c r="T966" s="43"/>
    </row>
    <row r="967">
      <c r="R967" s="43"/>
      <c r="S967" s="43"/>
      <c r="T967" s="43"/>
    </row>
    <row r="968">
      <c r="R968" s="43"/>
      <c r="S968" s="43"/>
      <c r="T968" s="43"/>
    </row>
    <row r="969">
      <c r="R969" s="43"/>
      <c r="S969" s="43"/>
      <c r="T969" s="43"/>
    </row>
    <row r="970">
      <c r="R970" s="43"/>
      <c r="S970" s="43"/>
      <c r="T970" s="43"/>
    </row>
    <row r="971">
      <c r="R971" s="43"/>
      <c r="S971" s="43"/>
      <c r="T971" s="43"/>
    </row>
    <row r="972">
      <c r="R972" s="43"/>
      <c r="S972" s="43"/>
      <c r="T972" s="43"/>
    </row>
    <row r="973">
      <c r="R973" s="43"/>
      <c r="S973" s="43"/>
      <c r="T973" s="43"/>
    </row>
    <row r="974">
      <c r="R974" s="43"/>
      <c r="S974" s="43"/>
      <c r="T974" s="43"/>
    </row>
    <row r="975">
      <c r="R975" s="43"/>
      <c r="S975" s="43"/>
      <c r="T975" s="43"/>
    </row>
    <row r="976">
      <c r="R976" s="43"/>
      <c r="S976" s="43"/>
      <c r="T976" s="43"/>
    </row>
    <row r="977">
      <c r="R977" s="43"/>
      <c r="S977" s="43"/>
      <c r="T977" s="43"/>
    </row>
    <row r="978">
      <c r="R978" s="43"/>
      <c r="S978" s="43"/>
      <c r="T978" s="43"/>
    </row>
    <row r="979">
      <c r="R979" s="43"/>
      <c r="S979" s="43"/>
      <c r="T979" s="43"/>
    </row>
    <row r="980">
      <c r="R980" s="43"/>
      <c r="S980" s="43"/>
      <c r="T980" s="43"/>
    </row>
    <row r="981">
      <c r="R981" s="43"/>
      <c r="S981" s="43"/>
      <c r="T981" s="43"/>
    </row>
    <row r="982">
      <c r="R982" s="43"/>
      <c r="S982" s="43"/>
      <c r="T982" s="43"/>
    </row>
    <row r="983">
      <c r="R983" s="43"/>
      <c r="S983" s="43"/>
      <c r="T983" s="43"/>
    </row>
    <row r="984">
      <c r="R984" s="43"/>
      <c r="S984" s="43"/>
      <c r="T984" s="43"/>
    </row>
    <row r="985">
      <c r="R985" s="43"/>
      <c r="S985" s="43"/>
      <c r="T985" s="43"/>
    </row>
    <row r="986">
      <c r="R986" s="43"/>
      <c r="S986" s="43"/>
      <c r="T986" s="43"/>
    </row>
    <row r="987">
      <c r="R987" s="43"/>
      <c r="S987" s="43"/>
      <c r="T987" s="43"/>
    </row>
    <row r="988">
      <c r="R988" s="43"/>
      <c r="S988" s="43"/>
      <c r="T988" s="43"/>
    </row>
    <row r="989">
      <c r="R989" s="43"/>
      <c r="S989" s="43"/>
      <c r="T989" s="43"/>
    </row>
    <row r="990">
      <c r="R990" s="43"/>
      <c r="S990" s="43"/>
      <c r="T990" s="43"/>
    </row>
    <row r="991">
      <c r="R991" s="43"/>
      <c r="S991" s="43"/>
      <c r="T991" s="43"/>
    </row>
    <row r="992">
      <c r="R992" s="43"/>
      <c r="S992" s="43"/>
      <c r="T992" s="43"/>
    </row>
    <row r="993">
      <c r="R993" s="43"/>
      <c r="S993" s="43"/>
      <c r="T993" s="43"/>
    </row>
    <row r="994">
      <c r="R994" s="43"/>
      <c r="S994" s="43"/>
      <c r="T994" s="43"/>
    </row>
    <row r="995">
      <c r="R995" s="43"/>
      <c r="S995" s="43"/>
      <c r="T995" s="43"/>
    </row>
    <row r="996">
      <c r="R996" s="43"/>
      <c r="S996" s="43"/>
      <c r="T996" s="4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42.63"/>
    <col customWidth="1" min="3" max="3" width="39.13"/>
  </cols>
  <sheetData>
    <row r="1">
      <c r="A1" s="75" t="s">
        <v>1974</v>
      </c>
      <c r="B1" s="33" t="s">
        <v>2258</v>
      </c>
      <c r="C1" s="1" t="s">
        <v>2259</v>
      </c>
      <c r="E1" s="35"/>
    </row>
    <row r="2">
      <c r="A2" s="75" t="s">
        <v>1481</v>
      </c>
      <c r="B2" s="33" t="s">
        <v>2266</v>
      </c>
      <c r="C2" s="1" t="s">
        <v>2268</v>
      </c>
      <c r="E2" s="35"/>
    </row>
    <row r="3">
      <c r="A3" s="75" t="s">
        <v>1621</v>
      </c>
      <c r="B3" s="33" t="s">
        <v>2273</v>
      </c>
      <c r="C3" s="1" t="s">
        <v>2275</v>
      </c>
      <c r="E3" s="35"/>
    </row>
    <row r="4">
      <c r="A4" s="75" t="s">
        <v>1961</v>
      </c>
      <c r="B4" s="33" t="s">
        <v>2277</v>
      </c>
      <c r="C4" s="1" t="s">
        <v>2279</v>
      </c>
      <c r="E4" s="35"/>
    </row>
    <row r="5">
      <c r="A5" s="75" t="s">
        <v>1992</v>
      </c>
      <c r="B5" s="33" t="s">
        <v>2283</v>
      </c>
      <c r="C5" s="82" t="s">
        <v>2286</v>
      </c>
      <c r="E5" s="35"/>
    </row>
    <row r="6">
      <c r="A6" s="75" t="s">
        <v>2222</v>
      </c>
      <c r="B6" s="33" t="s">
        <v>2292</v>
      </c>
      <c r="C6" s="82" t="s">
        <v>2293</v>
      </c>
      <c r="E6" s="35"/>
    </row>
    <row r="7">
      <c r="A7" s="75" t="s">
        <v>2102</v>
      </c>
      <c r="B7" s="33" t="s">
        <v>2298</v>
      </c>
      <c r="C7" s="82" t="s">
        <v>2301</v>
      </c>
      <c r="E7" s="35"/>
    </row>
    <row r="8">
      <c r="A8" s="75" t="s">
        <v>1970</v>
      </c>
      <c r="B8" s="33" t="s">
        <v>2305</v>
      </c>
      <c r="C8" s="82" t="s">
        <v>2306</v>
      </c>
      <c r="E8" s="35"/>
    </row>
    <row r="9">
      <c r="A9" s="75" t="s">
        <v>2114</v>
      </c>
      <c r="B9" s="33" t="s">
        <v>2308</v>
      </c>
      <c r="C9" s="82" t="s">
        <v>2310</v>
      </c>
      <c r="E9" s="35"/>
    </row>
    <row r="10">
      <c r="A10" s="75" t="s">
        <v>2120</v>
      </c>
      <c r="B10" s="33" t="s">
        <v>2314</v>
      </c>
      <c r="C10" s="82" t="s">
        <v>2316</v>
      </c>
      <c r="E10" s="35"/>
    </row>
    <row r="11">
      <c r="A11" s="75" t="s">
        <v>2195</v>
      </c>
      <c r="B11" s="33" t="s">
        <v>2321</v>
      </c>
      <c r="C11" s="82" t="s">
        <v>2324</v>
      </c>
      <c r="E11" s="35"/>
    </row>
    <row r="12">
      <c r="A12" s="75" t="s">
        <v>2206</v>
      </c>
      <c r="B12" s="33" t="s">
        <v>2328</v>
      </c>
      <c r="C12" s="82" t="s">
        <v>2331</v>
      </c>
      <c r="E12" s="35"/>
    </row>
    <row r="13">
      <c r="A13" s="75" t="s">
        <v>2002</v>
      </c>
      <c r="B13" s="33" t="s">
        <v>2335</v>
      </c>
      <c r="C13" s="82" t="s">
        <v>2339</v>
      </c>
      <c r="E13" s="35"/>
    </row>
    <row r="14">
      <c r="A14" s="75" t="s">
        <v>2175</v>
      </c>
      <c r="B14" s="33" t="s">
        <v>2341</v>
      </c>
      <c r="C14" s="82" t="s">
        <v>2344</v>
      </c>
      <c r="E14" s="35"/>
    </row>
    <row r="15">
      <c r="A15" s="75" t="s">
        <v>2346</v>
      </c>
      <c r="B15" s="33" t="s">
        <v>2348</v>
      </c>
      <c r="C15" s="82" t="s">
        <v>2349</v>
      </c>
      <c r="E15" s="35"/>
    </row>
    <row r="16">
      <c r="A16" s="75" t="s">
        <v>2181</v>
      </c>
      <c r="B16" s="33" t="s">
        <v>2351</v>
      </c>
      <c r="C16" s="1" t="s">
        <v>2353</v>
      </c>
      <c r="E16" s="35"/>
    </row>
    <row r="17">
      <c r="A17" s="75" t="s">
        <v>2085</v>
      </c>
      <c r="B17" s="33" t="s">
        <v>2358</v>
      </c>
      <c r="C17" s="1" t="s">
        <v>2360</v>
      </c>
      <c r="E17" s="35"/>
    </row>
    <row r="18">
      <c r="A18" s="75" t="s">
        <v>2130</v>
      </c>
      <c r="B18" s="33" t="s">
        <v>2364</v>
      </c>
      <c r="C18" s="1" t="s">
        <v>2367</v>
      </c>
      <c r="E18" s="35"/>
    </row>
    <row r="19">
      <c r="A19" s="75" t="s">
        <v>2368</v>
      </c>
      <c r="B19" s="33" t="s">
        <v>2370</v>
      </c>
      <c r="C19" s="1" t="s">
        <v>2371</v>
      </c>
      <c r="E19" s="35"/>
    </row>
    <row r="20">
      <c r="A20" s="75" t="s">
        <v>2014</v>
      </c>
      <c r="B20" s="33" t="s">
        <v>2374</v>
      </c>
      <c r="C20" s="1" t="s">
        <v>2377</v>
      </c>
      <c r="E20" s="35"/>
    </row>
    <row r="21">
      <c r="A21" s="75" t="s">
        <v>2020</v>
      </c>
      <c r="B21" s="33" t="s">
        <v>2379</v>
      </c>
      <c r="C21" s="1" t="s">
        <v>2382</v>
      </c>
      <c r="E21" s="35"/>
    </row>
    <row r="22">
      <c r="A22" s="75" t="s">
        <v>2141</v>
      </c>
      <c r="B22" s="33" t="s">
        <v>2386</v>
      </c>
      <c r="C22" s="1" t="s">
        <v>2388</v>
      </c>
      <c r="E22" s="35"/>
    </row>
    <row r="23">
      <c r="A23" s="75" t="s">
        <v>2227</v>
      </c>
      <c r="B23" s="33" t="s">
        <v>2392</v>
      </c>
      <c r="C23" s="1" t="s">
        <v>2393</v>
      </c>
      <c r="E23" s="35"/>
    </row>
    <row r="24">
      <c r="A24" s="75" t="s">
        <v>2239</v>
      </c>
      <c r="B24" s="33" t="s">
        <v>2394</v>
      </c>
      <c r="C24" s="1" t="s">
        <v>2395</v>
      </c>
      <c r="E24" s="35"/>
    </row>
    <row r="25">
      <c r="A25" s="75" t="s">
        <v>2264</v>
      </c>
      <c r="B25" s="33" t="s">
        <v>2396</v>
      </c>
      <c r="C25" s="1" t="s">
        <v>2397</v>
      </c>
      <c r="E25" s="35"/>
    </row>
    <row r="26">
      <c r="A26" s="75" t="s">
        <v>2027</v>
      </c>
      <c r="B26" s="33" t="s">
        <v>2398</v>
      </c>
      <c r="C26" s="1" t="s">
        <v>2399</v>
      </c>
      <c r="E26" s="35"/>
    </row>
    <row r="27">
      <c r="A27" s="75" t="s">
        <v>2242</v>
      </c>
      <c r="B27" s="33" t="s">
        <v>2400</v>
      </c>
      <c r="C27" s="1" t="s">
        <v>2401</v>
      </c>
      <c r="E27" s="35"/>
    </row>
    <row r="28">
      <c r="A28" s="75" t="s">
        <v>2352</v>
      </c>
      <c r="B28" s="33" t="s">
        <v>2402</v>
      </c>
      <c r="C28" s="1" t="s">
        <v>2403</v>
      </c>
      <c r="E28" s="35"/>
    </row>
    <row r="29">
      <c r="A29" s="75" t="s">
        <v>2147</v>
      </c>
      <c r="B29" s="33" t="s">
        <v>2404</v>
      </c>
      <c r="C29" s="1" t="s">
        <v>2406</v>
      </c>
      <c r="E29" s="35"/>
    </row>
    <row r="30">
      <c r="A30" s="75" t="s">
        <v>2345</v>
      </c>
      <c r="B30" s="33" t="s">
        <v>2407</v>
      </c>
      <c r="C30" s="1" t="s">
        <v>2408</v>
      </c>
      <c r="E30" s="35"/>
    </row>
    <row r="31">
      <c r="A31" s="75" t="s">
        <v>2235</v>
      </c>
      <c r="B31" s="33" t="s">
        <v>2409</v>
      </c>
      <c r="C31" s="1" t="s">
        <v>2411</v>
      </c>
      <c r="E31" s="35"/>
    </row>
    <row r="32">
      <c r="A32" s="75" t="s">
        <v>2152</v>
      </c>
      <c r="B32" s="33" t="s">
        <v>2412</v>
      </c>
      <c r="C32" s="1" t="s">
        <v>2413</v>
      </c>
      <c r="E32" s="35"/>
    </row>
    <row r="33">
      <c r="A33" s="75" t="s">
        <v>2414</v>
      </c>
      <c r="B33" s="33" t="s">
        <v>2415</v>
      </c>
      <c r="C33" s="1" t="s">
        <v>2416</v>
      </c>
      <c r="E33" s="35"/>
    </row>
    <row r="34">
      <c r="A34" s="75" t="s">
        <v>1983</v>
      </c>
      <c r="B34" s="33" t="s">
        <v>2417</v>
      </c>
      <c r="C34" s="1" t="s">
        <v>2418</v>
      </c>
      <c r="E34" s="35"/>
    </row>
    <row r="35">
      <c r="A35" s="75" t="s">
        <v>2311</v>
      </c>
      <c r="B35" s="33" t="s">
        <v>2421</v>
      </c>
      <c r="C35" s="1" t="s">
        <v>2422</v>
      </c>
      <c r="E35" s="35"/>
    </row>
    <row r="36">
      <c r="A36" s="75" t="s">
        <v>2036</v>
      </c>
      <c r="B36" s="33" t="s">
        <v>2423</v>
      </c>
      <c r="C36" s="1" t="s">
        <v>2424</v>
      </c>
      <c r="E36" s="35"/>
    </row>
    <row r="37">
      <c r="A37" s="75" t="s">
        <v>2425</v>
      </c>
      <c r="B37" s="33" t="s">
        <v>2426</v>
      </c>
      <c r="C37" s="1" t="s">
        <v>2427</v>
      </c>
      <c r="E37" s="35"/>
    </row>
    <row r="38">
      <c r="A38" s="75" t="s">
        <v>2429</v>
      </c>
      <c r="B38" s="33" t="s">
        <v>2430</v>
      </c>
      <c r="C38" s="1" t="s">
        <v>2431</v>
      </c>
      <c r="E38" s="35"/>
      <c r="H38" s="1" t="s">
        <v>2432</v>
      </c>
    </row>
    <row r="39">
      <c r="A39" s="75" t="s">
        <v>2052</v>
      </c>
      <c r="B39" s="33" t="s">
        <v>2433</v>
      </c>
      <c r="C39" s="1" t="s">
        <v>2434</v>
      </c>
      <c r="E39" s="35"/>
    </row>
    <row r="40">
      <c r="A40" s="75" t="s">
        <v>2281</v>
      </c>
      <c r="B40" s="33" t="s">
        <v>2436</v>
      </c>
      <c r="C40" s="1" t="s">
        <v>2437</v>
      </c>
      <c r="E40" s="35"/>
    </row>
    <row r="41">
      <c r="A41" s="75" t="s">
        <v>2076</v>
      </c>
      <c r="B41" s="33" t="s">
        <v>2438</v>
      </c>
      <c r="C41" s="1" t="s">
        <v>2439</v>
      </c>
      <c r="E41" s="35"/>
    </row>
    <row r="42">
      <c r="A42" s="75" t="s">
        <v>2157</v>
      </c>
      <c r="B42" s="33" t="s">
        <v>2440</v>
      </c>
      <c r="C42" s="1" t="s">
        <v>2441</v>
      </c>
      <c r="E42" s="35"/>
    </row>
    <row r="43">
      <c r="A43" s="75" t="s">
        <v>2249</v>
      </c>
      <c r="B43" s="33" t="s">
        <v>2442</v>
      </c>
      <c r="C43" s="1" t="s">
        <v>2443</v>
      </c>
      <c r="E43" s="35"/>
    </row>
    <row r="44">
      <c r="A44" s="75" t="s">
        <v>2165</v>
      </c>
      <c r="B44" s="33" t="s">
        <v>2444</v>
      </c>
      <c r="C44" s="1" t="s">
        <v>2445</v>
      </c>
      <c r="E44" s="35"/>
    </row>
    <row r="45">
      <c r="A45" s="75" t="s">
        <v>2062</v>
      </c>
      <c r="B45" s="33" t="s">
        <v>2447</v>
      </c>
      <c r="C45" s="1" t="s">
        <v>2448</v>
      </c>
      <c r="E45" s="35"/>
    </row>
    <row r="46">
      <c r="A46" s="75" t="s">
        <v>2069</v>
      </c>
      <c r="B46" s="33" t="s">
        <v>2450</v>
      </c>
      <c r="C46" s="1" t="s">
        <v>2451</v>
      </c>
      <c r="E46" s="35"/>
    </row>
    <row r="47">
      <c r="A47" s="75" t="s">
        <v>2296</v>
      </c>
      <c r="B47" s="33" t="s">
        <v>2452</v>
      </c>
      <c r="C47" s="1" t="s">
        <v>2453</v>
      </c>
      <c r="E47" s="35"/>
    </row>
    <row r="48">
      <c r="A48" s="75" t="s">
        <v>2244</v>
      </c>
      <c r="B48" s="33" t="s">
        <v>2454</v>
      </c>
      <c r="C48" s="1" t="s">
        <v>2455</v>
      </c>
      <c r="E48" s="35"/>
    </row>
    <row r="49">
      <c r="A49" s="75" t="s">
        <v>2456</v>
      </c>
      <c r="B49" s="33" t="s">
        <v>2457</v>
      </c>
      <c r="C49" s="1" t="s">
        <v>2458</v>
      </c>
      <c r="E49" s="33" t="s">
        <v>2459</v>
      </c>
    </row>
    <row r="50">
      <c r="A50" s="75" t="s">
        <v>2460</v>
      </c>
      <c r="B50" s="33" t="s">
        <v>2461</v>
      </c>
      <c r="C50" s="1" t="s">
        <v>2463</v>
      </c>
      <c r="E50" s="33" t="s">
        <v>2464</v>
      </c>
    </row>
    <row r="51">
      <c r="A51" s="83"/>
      <c r="B51" s="35"/>
      <c r="E51" s="35"/>
    </row>
    <row r="52">
      <c r="A52" s="75" t="s">
        <v>2466</v>
      </c>
      <c r="B52" s="33" t="s">
        <v>2467</v>
      </c>
      <c r="C52" s="1" t="s">
        <v>2468</v>
      </c>
      <c r="E52" s="33" t="s">
        <v>2099</v>
      </c>
    </row>
    <row r="53">
      <c r="A53" s="75" t="s">
        <v>2470</v>
      </c>
      <c r="B53" s="33" t="s">
        <v>2471</v>
      </c>
      <c r="C53" s="1" t="s">
        <v>2472</v>
      </c>
      <c r="E53" s="33" t="s">
        <v>2473</v>
      </c>
    </row>
    <row r="54">
      <c r="A54" s="83"/>
      <c r="B54" s="35"/>
      <c r="E54" s="35"/>
    </row>
    <row r="55">
      <c r="A55" s="83"/>
      <c r="B55" s="35"/>
      <c r="E55" s="35"/>
    </row>
    <row r="56">
      <c r="A56" s="83"/>
      <c r="B56" s="35"/>
      <c r="E56" s="35"/>
    </row>
    <row r="57">
      <c r="A57" s="83"/>
      <c r="B57" s="35"/>
      <c r="E57" s="35"/>
    </row>
    <row r="58">
      <c r="A58" s="83"/>
      <c r="B58" s="35"/>
      <c r="E58" s="35"/>
    </row>
    <row r="59">
      <c r="A59" s="83"/>
      <c r="B59" s="35"/>
      <c r="E59" s="35"/>
    </row>
    <row r="60">
      <c r="A60" s="83"/>
      <c r="B60" s="35"/>
      <c r="E60" s="35"/>
    </row>
    <row r="61">
      <c r="A61" s="83"/>
      <c r="B61" s="35"/>
      <c r="E61" s="35"/>
    </row>
    <row r="62">
      <c r="A62" s="83"/>
      <c r="B62" s="35"/>
      <c r="E62" s="35"/>
    </row>
    <row r="63">
      <c r="A63" s="83"/>
      <c r="B63" s="35"/>
      <c r="E63" s="35"/>
    </row>
    <row r="64">
      <c r="A64" s="83"/>
      <c r="B64" s="35"/>
      <c r="E64" s="35"/>
    </row>
    <row r="65">
      <c r="A65" s="83"/>
      <c r="B65" s="35"/>
      <c r="E65" s="35"/>
    </row>
    <row r="66">
      <c r="A66" s="83"/>
      <c r="B66" s="35"/>
      <c r="E66" s="35"/>
    </row>
    <row r="67">
      <c r="A67" s="83"/>
      <c r="B67" s="35"/>
      <c r="E67" s="35"/>
    </row>
    <row r="68">
      <c r="A68" s="83"/>
      <c r="B68" s="35"/>
      <c r="E68" s="35"/>
    </row>
    <row r="69">
      <c r="A69" s="83"/>
      <c r="B69" s="35"/>
      <c r="E69" s="35"/>
    </row>
    <row r="70">
      <c r="A70" s="83"/>
      <c r="B70" s="35"/>
      <c r="E70" s="35"/>
    </row>
    <row r="71">
      <c r="A71" s="83"/>
      <c r="B71" s="35"/>
      <c r="E71" s="35"/>
    </row>
    <row r="72">
      <c r="A72" s="83"/>
      <c r="B72" s="35"/>
      <c r="E72" s="35"/>
    </row>
    <row r="73">
      <c r="A73" s="83"/>
      <c r="B73" s="35"/>
      <c r="E73" s="35"/>
    </row>
    <row r="74">
      <c r="A74" s="83"/>
      <c r="B74" s="35"/>
      <c r="E74" s="35"/>
    </row>
    <row r="75">
      <c r="A75" s="83"/>
      <c r="B75" s="35"/>
      <c r="E75" s="35"/>
    </row>
    <row r="76">
      <c r="A76" s="83"/>
      <c r="B76" s="35"/>
      <c r="E76" s="35"/>
    </row>
    <row r="77">
      <c r="A77" s="83"/>
      <c r="B77" s="35"/>
      <c r="E77" s="35"/>
    </row>
    <row r="78">
      <c r="A78" s="83"/>
      <c r="B78" s="35"/>
      <c r="E78" s="35"/>
    </row>
    <row r="79">
      <c r="A79" s="83"/>
      <c r="B79" s="35"/>
      <c r="E79" s="35"/>
    </row>
    <row r="80">
      <c r="A80" s="83"/>
      <c r="B80" s="35"/>
      <c r="E80" s="35"/>
    </row>
    <row r="81">
      <c r="A81" s="83"/>
      <c r="B81" s="35"/>
      <c r="E81" s="35"/>
    </row>
    <row r="82">
      <c r="A82" s="83"/>
      <c r="B82" s="35"/>
      <c r="E82" s="35"/>
    </row>
    <row r="83">
      <c r="A83" s="83"/>
      <c r="B83" s="35"/>
      <c r="E83" s="35"/>
    </row>
    <row r="84">
      <c r="A84" s="83"/>
      <c r="B84" s="35"/>
      <c r="E84" s="35"/>
    </row>
    <row r="85">
      <c r="A85" s="83"/>
      <c r="B85" s="35"/>
      <c r="E85" s="35"/>
    </row>
    <row r="86">
      <c r="A86" s="83"/>
      <c r="B86" s="35"/>
      <c r="E86" s="35"/>
    </row>
    <row r="87">
      <c r="A87" s="83"/>
      <c r="B87" s="35"/>
      <c r="E87" s="35"/>
    </row>
    <row r="88">
      <c r="A88" s="83"/>
      <c r="B88" s="35"/>
      <c r="E88" s="35"/>
    </row>
    <row r="89">
      <c r="A89" s="83"/>
      <c r="B89" s="35"/>
      <c r="E89" s="35"/>
    </row>
    <row r="90">
      <c r="A90" s="83"/>
      <c r="B90" s="35"/>
      <c r="E90" s="35"/>
    </row>
    <row r="91">
      <c r="A91" s="83"/>
      <c r="B91" s="35"/>
      <c r="E91" s="35"/>
    </row>
    <row r="92">
      <c r="A92" s="83"/>
      <c r="B92" s="35"/>
      <c r="E92" s="35"/>
    </row>
    <row r="93">
      <c r="A93" s="83"/>
      <c r="B93" s="35"/>
      <c r="E93" s="35"/>
    </row>
    <row r="94">
      <c r="A94" s="83"/>
      <c r="B94" s="35"/>
      <c r="E94" s="35"/>
    </row>
    <row r="95">
      <c r="A95" s="83"/>
      <c r="B95" s="35"/>
      <c r="E95" s="35"/>
    </row>
    <row r="96">
      <c r="A96" s="83"/>
      <c r="B96" s="35"/>
      <c r="E96" s="35"/>
    </row>
    <row r="97">
      <c r="A97" s="83"/>
      <c r="B97" s="35"/>
      <c r="E97" s="35"/>
    </row>
    <row r="98">
      <c r="A98" s="83"/>
      <c r="B98" s="35"/>
      <c r="E98" s="35"/>
    </row>
    <row r="99">
      <c r="A99" s="83"/>
      <c r="B99" s="35"/>
      <c r="E99" s="35"/>
    </row>
    <row r="100">
      <c r="A100" s="83"/>
      <c r="B100" s="35"/>
      <c r="E100" s="35"/>
    </row>
    <row r="101">
      <c r="A101" s="83"/>
      <c r="B101" s="35"/>
      <c r="E101" s="35"/>
    </row>
    <row r="102">
      <c r="A102" s="83"/>
      <c r="B102" s="35"/>
      <c r="E102" s="35"/>
    </row>
    <row r="103">
      <c r="A103" s="83"/>
      <c r="B103" s="35"/>
      <c r="E103" s="35"/>
    </row>
    <row r="104">
      <c r="A104" s="83"/>
      <c r="B104" s="35"/>
      <c r="E104" s="35"/>
    </row>
    <row r="105">
      <c r="A105" s="83"/>
      <c r="B105" s="35"/>
      <c r="E105" s="35"/>
    </row>
    <row r="106">
      <c r="A106" s="83"/>
      <c r="B106" s="35"/>
      <c r="E106" s="35"/>
    </row>
    <row r="107">
      <c r="A107" s="83"/>
      <c r="B107" s="35"/>
      <c r="E107" s="35"/>
    </row>
    <row r="108">
      <c r="A108" s="83"/>
      <c r="B108" s="35"/>
      <c r="E108" s="35"/>
    </row>
    <row r="109">
      <c r="A109" s="83"/>
      <c r="B109" s="35"/>
      <c r="E109" s="35"/>
    </row>
    <row r="110">
      <c r="A110" s="83"/>
      <c r="B110" s="35"/>
      <c r="E110" s="35"/>
    </row>
    <row r="111">
      <c r="A111" s="83"/>
      <c r="B111" s="35"/>
      <c r="E111" s="35"/>
    </row>
    <row r="112">
      <c r="A112" s="83"/>
      <c r="B112" s="35"/>
      <c r="E112" s="35"/>
    </row>
    <row r="113">
      <c r="A113" s="83"/>
      <c r="B113" s="35"/>
      <c r="E113" s="35"/>
    </row>
    <row r="114">
      <c r="A114" s="83"/>
      <c r="B114" s="35"/>
      <c r="E114" s="35"/>
    </row>
    <row r="115">
      <c r="A115" s="83"/>
      <c r="B115" s="35"/>
      <c r="E115" s="35"/>
    </row>
    <row r="116">
      <c r="A116" s="83"/>
      <c r="B116" s="35"/>
      <c r="E116" s="35"/>
    </row>
    <row r="117">
      <c r="A117" s="83"/>
      <c r="B117" s="35"/>
      <c r="E117" s="35"/>
    </row>
    <row r="118">
      <c r="A118" s="83"/>
      <c r="B118" s="35"/>
      <c r="E118" s="35"/>
    </row>
    <row r="119">
      <c r="A119" s="83"/>
      <c r="B119" s="35"/>
      <c r="E119" s="35"/>
    </row>
    <row r="120">
      <c r="A120" s="83"/>
      <c r="B120" s="35"/>
      <c r="E120" s="35"/>
    </row>
    <row r="121">
      <c r="A121" s="83"/>
      <c r="B121" s="35"/>
      <c r="E121" s="35"/>
    </row>
    <row r="122">
      <c r="A122" s="83"/>
      <c r="B122" s="35"/>
      <c r="E122" s="35"/>
    </row>
    <row r="123">
      <c r="A123" s="83"/>
      <c r="B123" s="35"/>
      <c r="E123" s="35"/>
    </row>
    <row r="124">
      <c r="A124" s="83"/>
      <c r="B124" s="35"/>
      <c r="E124" s="35"/>
    </row>
    <row r="125">
      <c r="A125" s="83"/>
      <c r="B125" s="35"/>
      <c r="E125" s="35"/>
    </row>
    <row r="126">
      <c r="A126" s="83"/>
      <c r="B126" s="35"/>
      <c r="E126" s="35"/>
    </row>
    <row r="127">
      <c r="A127" s="83"/>
      <c r="B127" s="35"/>
      <c r="E127" s="35"/>
    </row>
    <row r="128">
      <c r="A128" s="83"/>
      <c r="B128" s="35"/>
      <c r="E128" s="35"/>
    </row>
    <row r="129">
      <c r="A129" s="83"/>
      <c r="B129" s="35"/>
      <c r="E129" s="35"/>
    </row>
    <row r="130">
      <c r="A130" s="83"/>
      <c r="B130" s="35"/>
      <c r="E130" s="35"/>
    </row>
    <row r="131">
      <c r="A131" s="83"/>
      <c r="B131" s="35"/>
      <c r="E131" s="35"/>
    </row>
    <row r="132">
      <c r="A132" s="83"/>
      <c r="B132" s="35"/>
      <c r="E132" s="35"/>
    </row>
    <row r="133">
      <c r="A133" s="83"/>
      <c r="B133" s="35"/>
      <c r="E133" s="35"/>
    </row>
    <row r="134">
      <c r="A134" s="83"/>
      <c r="B134" s="35"/>
      <c r="E134" s="35"/>
    </row>
    <row r="135">
      <c r="A135" s="83"/>
      <c r="B135" s="35"/>
      <c r="E135" s="35"/>
    </row>
    <row r="136">
      <c r="A136" s="83"/>
      <c r="B136" s="35"/>
      <c r="E136" s="35"/>
    </row>
    <row r="137">
      <c r="A137" s="83"/>
      <c r="B137" s="35"/>
      <c r="E137" s="35"/>
    </row>
    <row r="138">
      <c r="A138" s="83"/>
      <c r="B138" s="35"/>
      <c r="E138" s="35"/>
    </row>
    <row r="139">
      <c r="A139" s="83"/>
      <c r="B139" s="35"/>
      <c r="E139" s="35"/>
    </row>
    <row r="140">
      <c r="A140" s="83"/>
      <c r="B140" s="35"/>
      <c r="E140" s="35"/>
    </row>
    <row r="141">
      <c r="A141" s="83"/>
      <c r="B141" s="35"/>
      <c r="E141" s="35"/>
    </row>
    <row r="142">
      <c r="A142" s="83"/>
      <c r="B142" s="35"/>
      <c r="E142" s="35"/>
    </row>
    <row r="143">
      <c r="A143" s="83"/>
      <c r="B143" s="35"/>
      <c r="E143" s="35"/>
    </row>
    <row r="144">
      <c r="A144" s="83"/>
      <c r="B144" s="35"/>
      <c r="E144" s="35"/>
    </row>
    <row r="145">
      <c r="A145" s="83"/>
      <c r="B145" s="35"/>
      <c r="E145" s="35"/>
    </row>
    <row r="146">
      <c r="A146" s="83"/>
      <c r="B146" s="35"/>
      <c r="E146" s="35"/>
    </row>
    <row r="147">
      <c r="A147" s="83"/>
      <c r="B147" s="35"/>
      <c r="E147" s="35"/>
    </row>
    <row r="148">
      <c r="A148" s="83"/>
      <c r="B148" s="35"/>
      <c r="E148" s="35"/>
    </row>
    <row r="149">
      <c r="A149" s="83"/>
      <c r="B149" s="35"/>
      <c r="E149" s="35"/>
    </row>
    <row r="150">
      <c r="A150" s="83"/>
      <c r="B150" s="35"/>
      <c r="E150" s="35"/>
    </row>
    <row r="151">
      <c r="A151" s="83"/>
      <c r="B151" s="35"/>
      <c r="E151" s="35"/>
    </row>
    <row r="152">
      <c r="A152" s="83"/>
      <c r="B152" s="35"/>
      <c r="E152" s="35"/>
    </row>
    <row r="153">
      <c r="A153" s="83"/>
      <c r="B153" s="35"/>
      <c r="E153" s="35"/>
    </row>
    <row r="154">
      <c r="A154" s="83"/>
      <c r="B154" s="35"/>
      <c r="E154" s="35"/>
    </row>
    <row r="155">
      <c r="A155" s="83"/>
      <c r="B155" s="35"/>
      <c r="E155" s="35"/>
    </row>
    <row r="156">
      <c r="A156" s="83"/>
      <c r="B156" s="35"/>
      <c r="E156" s="35"/>
    </row>
    <row r="157">
      <c r="A157" s="83"/>
      <c r="B157" s="35"/>
      <c r="E157" s="35"/>
    </row>
    <row r="158">
      <c r="A158" s="83"/>
      <c r="B158" s="35"/>
      <c r="E158" s="35"/>
    </row>
    <row r="159">
      <c r="A159" s="83"/>
      <c r="B159" s="35"/>
      <c r="E159" s="35"/>
    </row>
    <row r="160">
      <c r="A160" s="83"/>
      <c r="B160" s="35"/>
      <c r="E160" s="35"/>
    </row>
    <row r="161">
      <c r="A161" s="83"/>
      <c r="B161" s="35"/>
      <c r="E161" s="35"/>
    </row>
    <row r="162">
      <c r="A162" s="83"/>
      <c r="B162" s="35"/>
      <c r="E162" s="35"/>
    </row>
    <row r="163">
      <c r="A163" s="83"/>
      <c r="B163" s="35"/>
      <c r="E163" s="35"/>
    </row>
    <row r="164">
      <c r="A164" s="83"/>
      <c r="B164" s="35"/>
      <c r="E164" s="35"/>
    </row>
    <row r="165">
      <c r="A165" s="83"/>
      <c r="B165" s="35"/>
      <c r="E165" s="35"/>
    </row>
    <row r="166">
      <c r="A166" s="83"/>
      <c r="B166" s="35"/>
      <c r="E166" s="35"/>
    </row>
    <row r="167">
      <c r="A167" s="83"/>
      <c r="B167" s="35"/>
      <c r="E167" s="35"/>
    </row>
    <row r="168">
      <c r="A168" s="83"/>
      <c r="B168" s="35"/>
      <c r="E168" s="35"/>
    </row>
    <row r="169">
      <c r="A169" s="83"/>
      <c r="B169" s="35"/>
      <c r="E169" s="35"/>
    </row>
    <row r="170">
      <c r="A170" s="83"/>
      <c r="B170" s="35"/>
      <c r="E170" s="35"/>
    </row>
    <row r="171">
      <c r="A171" s="83"/>
      <c r="B171" s="35"/>
      <c r="E171" s="35"/>
    </row>
    <row r="172">
      <c r="A172" s="83"/>
      <c r="B172" s="35"/>
      <c r="E172" s="35"/>
    </row>
    <row r="173">
      <c r="A173" s="83"/>
      <c r="B173" s="35"/>
      <c r="E173" s="35"/>
    </row>
    <row r="174">
      <c r="A174" s="83"/>
      <c r="B174" s="35"/>
      <c r="E174" s="35"/>
    </row>
    <row r="175">
      <c r="A175" s="83"/>
      <c r="B175" s="35"/>
      <c r="E175" s="35"/>
    </row>
    <row r="176">
      <c r="A176" s="83"/>
      <c r="B176" s="35"/>
      <c r="E176" s="35"/>
    </row>
    <row r="177">
      <c r="A177" s="83"/>
      <c r="B177" s="35"/>
      <c r="E177" s="35"/>
    </row>
    <row r="178">
      <c r="A178" s="83"/>
      <c r="B178" s="35"/>
      <c r="E178" s="35"/>
    </row>
    <row r="179">
      <c r="A179" s="83"/>
      <c r="B179" s="35"/>
      <c r="E179" s="35"/>
    </row>
    <row r="180">
      <c r="A180" s="83"/>
      <c r="B180" s="35"/>
      <c r="E180" s="35"/>
    </row>
    <row r="181">
      <c r="A181" s="83"/>
      <c r="B181" s="35"/>
      <c r="E181" s="35"/>
    </row>
    <row r="182">
      <c r="A182" s="83"/>
      <c r="B182" s="35"/>
      <c r="E182" s="35"/>
    </row>
    <row r="183">
      <c r="A183" s="83"/>
      <c r="B183" s="35"/>
      <c r="E183" s="35"/>
    </row>
    <row r="184">
      <c r="A184" s="83"/>
      <c r="B184" s="35"/>
      <c r="E184" s="35"/>
    </row>
    <row r="185">
      <c r="A185" s="83"/>
      <c r="B185" s="35"/>
      <c r="E185" s="35"/>
    </row>
    <row r="186">
      <c r="A186" s="83"/>
      <c r="B186" s="35"/>
      <c r="E186" s="35"/>
    </row>
    <row r="187">
      <c r="A187" s="83"/>
      <c r="B187" s="35"/>
      <c r="E187" s="35"/>
    </row>
    <row r="188">
      <c r="A188" s="83"/>
      <c r="B188" s="35"/>
      <c r="E188" s="35"/>
    </row>
    <row r="189">
      <c r="A189" s="83"/>
      <c r="B189" s="35"/>
      <c r="E189" s="35"/>
    </row>
    <row r="190">
      <c r="A190" s="83"/>
      <c r="B190" s="35"/>
      <c r="E190" s="35"/>
    </row>
    <row r="191">
      <c r="A191" s="83"/>
      <c r="B191" s="35"/>
      <c r="E191" s="35"/>
    </row>
    <row r="192">
      <c r="A192" s="83"/>
      <c r="B192" s="35"/>
      <c r="E192" s="35"/>
    </row>
    <row r="193">
      <c r="A193" s="83"/>
      <c r="B193" s="35"/>
      <c r="E193" s="35"/>
    </row>
    <row r="194">
      <c r="A194" s="83"/>
      <c r="B194" s="35"/>
      <c r="E194" s="35"/>
    </row>
    <row r="195">
      <c r="A195" s="83"/>
      <c r="B195" s="35"/>
      <c r="E195" s="35"/>
    </row>
    <row r="196">
      <c r="A196" s="83"/>
      <c r="B196" s="35"/>
      <c r="E196" s="35"/>
    </row>
    <row r="197">
      <c r="A197" s="83"/>
      <c r="B197" s="35"/>
      <c r="E197" s="35"/>
    </row>
    <row r="198">
      <c r="A198" s="83"/>
      <c r="B198" s="35"/>
      <c r="E198" s="35"/>
    </row>
    <row r="199">
      <c r="A199" s="83"/>
      <c r="B199" s="35"/>
      <c r="E199" s="35"/>
    </row>
    <row r="200">
      <c r="A200" s="83"/>
      <c r="B200" s="35"/>
      <c r="E200" s="35"/>
    </row>
    <row r="201">
      <c r="A201" s="83"/>
      <c r="B201" s="35"/>
      <c r="E201" s="35"/>
    </row>
    <row r="202">
      <c r="A202" s="83"/>
      <c r="B202" s="35"/>
      <c r="E202" s="35"/>
    </row>
    <row r="203">
      <c r="A203" s="83"/>
      <c r="B203" s="35"/>
      <c r="E203" s="35"/>
    </row>
    <row r="204">
      <c r="A204" s="83"/>
      <c r="B204" s="35"/>
      <c r="E204" s="35"/>
    </row>
    <row r="205">
      <c r="A205" s="83"/>
      <c r="B205" s="35"/>
      <c r="E205" s="35"/>
    </row>
    <row r="206">
      <c r="A206" s="83"/>
      <c r="B206" s="35"/>
      <c r="E206" s="35"/>
    </row>
    <row r="207">
      <c r="A207" s="83"/>
      <c r="B207" s="35"/>
      <c r="E207" s="35"/>
    </row>
    <row r="208">
      <c r="A208" s="83"/>
      <c r="B208" s="35"/>
      <c r="E208" s="35"/>
    </row>
    <row r="209">
      <c r="A209" s="83"/>
      <c r="B209" s="35"/>
      <c r="E209" s="35"/>
    </row>
    <row r="210">
      <c r="A210" s="83"/>
      <c r="B210" s="35"/>
      <c r="E210" s="35"/>
    </row>
    <row r="211">
      <c r="A211" s="83"/>
      <c r="B211" s="35"/>
      <c r="E211" s="35"/>
    </row>
    <row r="212">
      <c r="A212" s="83"/>
      <c r="B212" s="35"/>
      <c r="E212" s="35"/>
    </row>
    <row r="213">
      <c r="A213" s="83"/>
      <c r="B213" s="35"/>
      <c r="E213" s="35"/>
    </row>
    <row r="214">
      <c r="A214" s="83"/>
      <c r="B214" s="35"/>
      <c r="E214" s="35"/>
    </row>
    <row r="215">
      <c r="A215" s="83"/>
      <c r="B215" s="35"/>
      <c r="E215" s="35"/>
    </row>
    <row r="216">
      <c r="A216" s="83"/>
      <c r="B216" s="35"/>
      <c r="E216" s="35"/>
    </row>
    <row r="217">
      <c r="A217" s="83"/>
      <c r="B217" s="35"/>
      <c r="E217" s="35"/>
    </row>
    <row r="218">
      <c r="A218" s="83"/>
      <c r="B218" s="35"/>
      <c r="E218" s="35"/>
    </row>
    <row r="219">
      <c r="A219" s="83"/>
      <c r="B219" s="35"/>
      <c r="E219" s="35"/>
    </row>
    <row r="220">
      <c r="A220" s="83"/>
      <c r="B220" s="35"/>
      <c r="E220" s="35"/>
    </row>
    <row r="221">
      <c r="A221" s="83"/>
      <c r="B221" s="35"/>
      <c r="E221" s="35"/>
    </row>
    <row r="222">
      <c r="A222" s="83"/>
      <c r="B222" s="35"/>
      <c r="E222" s="35"/>
    </row>
    <row r="223">
      <c r="A223" s="83"/>
      <c r="B223" s="35"/>
      <c r="E223" s="35"/>
    </row>
    <row r="224">
      <c r="A224" s="83"/>
      <c r="B224" s="35"/>
      <c r="E224" s="35"/>
    </row>
    <row r="225">
      <c r="A225" s="83"/>
      <c r="B225" s="35"/>
      <c r="E225" s="35"/>
    </row>
    <row r="226">
      <c r="A226" s="83"/>
      <c r="B226" s="35"/>
      <c r="E226" s="35"/>
    </row>
    <row r="227">
      <c r="A227" s="83"/>
      <c r="B227" s="35"/>
      <c r="E227" s="35"/>
    </row>
    <row r="228">
      <c r="A228" s="83"/>
      <c r="B228" s="35"/>
      <c r="E228" s="35"/>
    </row>
    <row r="229">
      <c r="A229" s="83"/>
      <c r="B229" s="35"/>
      <c r="E229" s="35"/>
    </row>
    <row r="230">
      <c r="A230" s="83"/>
      <c r="B230" s="35"/>
      <c r="E230" s="35"/>
    </row>
    <row r="231">
      <c r="A231" s="83"/>
      <c r="B231" s="35"/>
      <c r="E231" s="35"/>
    </row>
    <row r="232">
      <c r="A232" s="83"/>
      <c r="B232" s="35"/>
      <c r="E232" s="35"/>
    </row>
    <row r="233">
      <c r="A233" s="83"/>
      <c r="B233" s="35"/>
      <c r="E233" s="35"/>
    </row>
    <row r="234">
      <c r="A234" s="83"/>
      <c r="B234" s="35"/>
      <c r="E234" s="35"/>
    </row>
    <row r="235">
      <c r="A235" s="83"/>
      <c r="B235" s="35"/>
      <c r="E235" s="35"/>
    </row>
    <row r="236">
      <c r="A236" s="83"/>
      <c r="B236" s="35"/>
      <c r="E236" s="35"/>
    </row>
    <row r="237">
      <c r="A237" s="83"/>
      <c r="B237" s="35"/>
      <c r="E237" s="35"/>
    </row>
    <row r="238">
      <c r="A238" s="83"/>
      <c r="B238" s="35"/>
      <c r="E238" s="35"/>
    </row>
    <row r="239">
      <c r="A239" s="83"/>
      <c r="B239" s="35"/>
      <c r="E239" s="35"/>
    </row>
    <row r="240">
      <c r="A240" s="83"/>
      <c r="B240" s="35"/>
      <c r="E240" s="35"/>
    </row>
    <row r="241">
      <c r="A241" s="83"/>
      <c r="B241" s="35"/>
      <c r="E241" s="35"/>
    </row>
    <row r="242">
      <c r="A242" s="83"/>
      <c r="B242" s="35"/>
      <c r="E242" s="35"/>
    </row>
    <row r="243">
      <c r="A243" s="83"/>
      <c r="B243" s="35"/>
      <c r="E243" s="35"/>
    </row>
    <row r="244">
      <c r="A244" s="83"/>
      <c r="B244" s="35"/>
      <c r="E244" s="35"/>
    </row>
    <row r="245">
      <c r="A245" s="83"/>
      <c r="B245" s="35"/>
      <c r="E245" s="35"/>
    </row>
    <row r="246">
      <c r="A246" s="83"/>
      <c r="B246" s="35"/>
      <c r="E246" s="35"/>
    </row>
    <row r="247">
      <c r="A247" s="83"/>
      <c r="B247" s="35"/>
      <c r="E247" s="35"/>
    </row>
    <row r="248">
      <c r="A248" s="83"/>
      <c r="B248" s="35"/>
      <c r="E248" s="35"/>
    </row>
    <row r="249">
      <c r="A249" s="83"/>
      <c r="B249" s="35"/>
      <c r="E249" s="35"/>
    </row>
    <row r="250">
      <c r="A250" s="83"/>
      <c r="B250" s="35"/>
      <c r="E250" s="35"/>
    </row>
    <row r="251">
      <c r="A251" s="83"/>
      <c r="B251" s="35"/>
      <c r="E251" s="35"/>
    </row>
    <row r="252">
      <c r="A252" s="83"/>
      <c r="B252" s="35"/>
      <c r="E252" s="35"/>
    </row>
    <row r="253">
      <c r="A253" s="83"/>
      <c r="B253" s="35"/>
      <c r="E253" s="35"/>
    </row>
    <row r="254">
      <c r="A254" s="83"/>
      <c r="B254" s="35"/>
      <c r="E254" s="35"/>
    </row>
    <row r="255">
      <c r="A255" s="83"/>
      <c r="B255" s="35"/>
      <c r="E255" s="35"/>
    </row>
    <row r="256">
      <c r="A256" s="83"/>
      <c r="B256" s="35"/>
      <c r="E256" s="35"/>
    </row>
    <row r="257">
      <c r="A257" s="83"/>
      <c r="B257" s="35"/>
      <c r="E257" s="35"/>
    </row>
    <row r="258">
      <c r="A258" s="83"/>
      <c r="B258" s="35"/>
      <c r="E258" s="35"/>
    </row>
    <row r="259">
      <c r="A259" s="83"/>
      <c r="B259" s="35"/>
      <c r="E259" s="35"/>
    </row>
    <row r="260">
      <c r="A260" s="83"/>
      <c r="B260" s="35"/>
      <c r="E260" s="35"/>
    </row>
    <row r="261">
      <c r="A261" s="83"/>
      <c r="B261" s="35"/>
      <c r="E261" s="35"/>
    </row>
    <row r="262">
      <c r="A262" s="83"/>
      <c r="B262" s="35"/>
      <c r="E262" s="35"/>
    </row>
    <row r="263">
      <c r="A263" s="83"/>
      <c r="B263" s="35"/>
      <c r="E263" s="35"/>
    </row>
    <row r="264">
      <c r="A264" s="83"/>
      <c r="B264" s="35"/>
      <c r="E264" s="35"/>
    </row>
    <row r="265">
      <c r="A265" s="83"/>
      <c r="B265" s="35"/>
      <c r="E265" s="35"/>
    </row>
    <row r="266">
      <c r="A266" s="83"/>
      <c r="B266" s="35"/>
      <c r="E266" s="35"/>
    </row>
    <row r="267">
      <c r="A267" s="83"/>
      <c r="B267" s="35"/>
      <c r="E267" s="35"/>
    </row>
    <row r="268">
      <c r="A268" s="83"/>
      <c r="B268" s="35"/>
      <c r="E268" s="35"/>
    </row>
    <row r="269">
      <c r="A269" s="83"/>
      <c r="B269" s="35"/>
      <c r="E269" s="35"/>
    </row>
    <row r="270">
      <c r="A270" s="83"/>
      <c r="B270" s="35"/>
      <c r="E270" s="35"/>
    </row>
    <row r="271">
      <c r="A271" s="83"/>
      <c r="B271" s="35"/>
      <c r="E271" s="35"/>
    </row>
    <row r="272">
      <c r="A272" s="83"/>
      <c r="B272" s="35"/>
      <c r="E272" s="35"/>
    </row>
    <row r="273">
      <c r="A273" s="83"/>
      <c r="B273" s="35"/>
      <c r="E273" s="35"/>
    </row>
    <row r="274">
      <c r="A274" s="83"/>
      <c r="B274" s="35"/>
      <c r="E274" s="35"/>
    </row>
    <row r="275">
      <c r="A275" s="83"/>
      <c r="B275" s="35"/>
      <c r="E275" s="35"/>
    </row>
    <row r="276">
      <c r="A276" s="83"/>
      <c r="B276" s="35"/>
      <c r="E276" s="35"/>
    </row>
    <row r="277">
      <c r="A277" s="83"/>
      <c r="B277" s="35"/>
      <c r="E277" s="35"/>
    </row>
    <row r="278">
      <c r="A278" s="83"/>
      <c r="B278" s="35"/>
      <c r="E278" s="35"/>
    </row>
    <row r="279">
      <c r="A279" s="83"/>
      <c r="B279" s="35"/>
      <c r="E279" s="35"/>
    </row>
    <row r="280">
      <c r="A280" s="83"/>
      <c r="B280" s="35"/>
      <c r="E280" s="35"/>
    </row>
    <row r="281">
      <c r="A281" s="83"/>
      <c r="B281" s="35"/>
      <c r="E281" s="35"/>
    </row>
    <row r="282">
      <c r="A282" s="83"/>
      <c r="B282" s="35"/>
      <c r="E282" s="35"/>
    </row>
    <row r="283">
      <c r="A283" s="83"/>
      <c r="B283" s="35"/>
      <c r="E283" s="35"/>
    </row>
    <row r="284">
      <c r="A284" s="83"/>
      <c r="B284" s="35"/>
      <c r="E284" s="35"/>
    </row>
    <row r="285">
      <c r="A285" s="83"/>
      <c r="B285" s="35"/>
      <c r="E285" s="35"/>
    </row>
    <row r="286">
      <c r="A286" s="83"/>
      <c r="B286" s="35"/>
      <c r="E286" s="35"/>
    </row>
    <row r="287">
      <c r="A287" s="83"/>
      <c r="B287" s="35"/>
      <c r="E287" s="35"/>
    </row>
    <row r="288">
      <c r="A288" s="83"/>
      <c r="B288" s="35"/>
      <c r="E288" s="35"/>
    </row>
    <row r="289">
      <c r="A289" s="83"/>
      <c r="B289" s="35"/>
      <c r="E289" s="35"/>
    </row>
    <row r="290">
      <c r="A290" s="83"/>
      <c r="B290" s="35"/>
      <c r="E290" s="35"/>
    </row>
    <row r="291">
      <c r="A291" s="83"/>
      <c r="B291" s="35"/>
      <c r="E291" s="35"/>
    </row>
    <row r="292">
      <c r="A292" s="83"/>
      <c r="B292" s="35"/>
      <c r="E292" s="35"/>
    </row>
    <row r="293">
      <c r="A293" s="83"/>
      <c r="B293" s="35"/>
      <c r="E293" s="35"/>
    </row>
    <row r="294">
      <c r="A294" s="83"/>
      <c r="B294" s="35"/>
      <c r="E294" s="35"/>
    </row>
    <row r="295">
      <c r="A295" s="83"/>
      <c r="B295" s="35"/>
      <c r="E295" s="35"/>
    </row>
    <row r="296">
      <c r="A296" s="83"/>
      <c r="B296" s="35"/>
      <c r="E296" s="35"/>
    </row>
    <row r="297">
      <c r="A297" s="83"/>
      <c r="B297" s="35"/>
      <c r="E297" s="35"/>
    </row>
    <row r="298">
      <c r="A298" s="83"/>
      <c r="B298" s="35"/>
      <c r="E298" s="35"/>
    </row>
    <row r="299">
      <c r="A299" s="83"/>
      <c r="B299" s="35"/>
      <c r="E299" s="35"/>
    </row>
    <row r="300">
      <c r="A300" s="83"/>
      <c r="B300" s="35"/>
      <c r="E300" s="35"/>
    </row>
    <row r="301">
      <c r="A301" s="83"/>
      <c r="B301" s="35"/>
      <c r="E301" s="35"/>
    </row>
    <row r="302">
      <c r="A302" s="83"/>
      <c r="B302" s="35"/>
      <c r="E302" s="35"/>
    </row>
    <row r="303">
      <c r="A303" s="83"/>
      <c r="B303" s="35"/>
      <c r="E303" s="35"/>
    </row>
    <row r="304">
      <c r="A304" s="83"/>
      <c r="B304" s="35"/>
      <c r="E304" s="35"/>
    </row>
    <row r="305">
      <c r="A305" s="83"/>
      <c r="B305" s="35"/>
      <c r="E305" s="35"/>
    </row>
    <row r="306">
      <c r="A306" s="83"/>
      <c r="B306" s="35"/>
      <c r="E306" s="35"/>
    </row>
    <row r="307">
      <c r="A307" s="83"/>
      <c r="B307" s="35"/>
      <c r="E307" s="35"/>
    </row>
    <row r="308">
      <c r="A308" s="83"/>
      <c r="B308" s="35"/>
      <c r="E308" s="35"/>
    </row>
    <row r="309">
      <c r="A309" s="83"/>
      <c r="B309" s="35"/>
      <c r="E309" s="35"/>
    </row>
    <row r="310">
      <c r="A310" s="83"/>
      <c r="B310" s="35"/>
      <c r="E310" s="35"/>
    </row>
    <row r="311">
      <c r="A311" s="83"/>
      <c r="B311" s="35"/>
      <c r="E311" s="35"/>
    </row>
    <row r="312">
      <c r="A312" s="83"/>
      <c r="B312" s="35"/>
      <c r="E312" s="35"/>
    </row>
    <row r="313">
      <c r="A313" s="83"/>
      <c r="B313" s="35"/>
      <c r="E313" s="35"/>
    </row>
    <row r="314">
      <c r="A314" s="83"/>
      <c r="B314" s="35"/>
      <c r="E314" s="35"/>
    </row>
    <row r="315">
      <c r="A315" s="83"/>
      <c r="B315" s="35"/>
      <c r="E315" s="35"/>
    </row>
    <row r="316">
      <c r="A316" s="83"/>
      <c r="B316" s="35"/>
      <c r="E316" s="35"/>
    </row>
    <row r="317">
      <c r="A317" s="83"/>
      <c r="B317" s="35"/>
      <c r="E317" s="35"/>
    </row>
    <row r="318">
      <c r="A318" s="83"/>
      <c r="B318" s="35"/>
      <c r="E318" s="35"/>
    </row>
    <row r="319">
      <c r="A319" s="83"/>
      <c r="B319" s="35"/>
      <c r="E319" s="35"/>
    </row>
    <row r="320">
      <c r="A320" s="83"/>
      <c r="B320" s="35"/>
      <c r="E320" s="35"/>
    </row>
    <row r="321">
      <c r="A321" s="83"/>
      <c r="B321" s="35"/>
      <c r="E321" s="35"/>
    </row>
    <row r="322">
      <c r="A322" s="83"/>
      <c r="B322" s="35"/>
      <c r="E322" s="35"/>
    </row>
    <row r="323">
      <c r="A323" s="83"/>
      <c r="B323" s="35"/>
      <c r="E323" s="35"/>
    </row>
    <row r="324">
      <c r="A324" s="83"/>
      <c r="B324" s="35"/>
      <c r="E324" s="35"/>
    </row>
    <row r="325">
      <c r="A325" s="83"/>
      <c r="B325" s="35"/>
      <c r="E325" s="35"/>
    </row>
    <row r="326">
      <c r="A326" s="83"/>
      <c r="B326" s="35"/>
      <c r="E326" s="35"/>
    </row>
    <row r="327">
      <c r="A327" s="83"/>
      <c r="B327" s="35"/>
      <c r="E327" s="35"/>
    </row>
    <row r="328">
      <c r="A328" s="83"/>
      <c r="B328" s="35"/>
      <c r="E328" s="35"/>
    </row>
    <row r="329">
      <c r="A329" s="83"/>
      <c r="B329" s="35"/>
      <c r="E329" s="35"/>
    </row>
    <row r="330">
      <c r="A330" s="83"/>
      <c r="B330" s="35"/>
      <c r="E330" s="35"/>
    </row>
    <row r="331">
      <c r="A331" s="83"/>
      <c r="B331" s="35"/>
      <c r="E331" s="35"/>
    </row>
    <row r="332">
      <c r="A332" s="83"/>
      <c r="B332" s="35"/>
      <c r="E332" s="35"/>
    </row>
    <row r="333">
      <c r="A333" s="83"/>
      <c r="B333" s="35"/>
      <c r="E333" s="35"/>
    </row>
    <row r="334">
      <c r="A334" s="83"/>
      <c r="B334" s="35"/>
      <c r="E334" s="35"/>
    </row>
    <row r="335">
      <c r="A335" s="83"/>
      <c r="B335" s="35"/>
      <c r="E335" s="35"/>
    </row>
    <row r="336">
      <c r="A336" s="83"/>
      <c r="B336" s="35"/>
      <c r="E336" s="35"/>
    </row>
    <row r="337">
      <c r="A337" s="83"/>
      <c r="B337" s="35"/>
      <c r="E337" s="35"/>
    </row>
    <row r="338">
      <c r="A338" s="83"/>
      <c r="B338" s="35"/>
      <c r="E338" s="35"/>
    </row>
    <row r="339">
      <c r="A339" s="83"/>
      <c r="B339" s="35"/>
      <c r="E339" s="35"/>
    </row>
    <row r="340">
      <c r="A340" s="83"/>
      <c r="B340" s="35"/>
      <c r="E340" s="35"/>
    </row>
    <row r="341">
      <c r="A341" s="83"/>
      <c r="B341" s="35"/>
      <c r="E341" s="35"/>
    </row>
    <row r="342">
      <c r="A342" s="83"/>
      <c r="B342" s="35"/>
      <c r="E342" s="35"/>
    </row>
    <row r="343">
      <c r="A343" s="83"/>
      <c r="B343" s="35"/>
      <c r="E343" s="35"/>
    </row>
    <row r="344">
      <c r="A344" s="83"/>
      <c r="B344" s="35"/>
      <c r="E344" s="35"/>
    </row>
    <row r="345">
      <c r="A345" s="83"/>
      <c r="B345" s="35"/>
      <c r="E345" s="35"/>
    </row>
    <row r="346">
      <c r="A346" s="83"/>
      <c r="B346" s="35"/>
      <c r="E346" s="35"/>
    </row>
    <row r="347">
      <c r="A347" s="83"/>
      <c r="B347" s="35"/>
      <c r="E347" s="35"/>
    </row>
    <row r="348">
      <c r="A348" s="83"/>
      <c r="B348" s="35"/>
      <c r="E348" s="35"/>
    </row>
    <row r="349">
      <c r="A349" s="83"/>
      <c r="B349" s="35"/>
      <c r="E349" s="35"/>
    </row>
    <row r="350">
      <c r="A350" s="83"/>
      <c r="B350" s="35"/>
      <c r="E350" s="35"/>
    </row>
    <row r="351">
      <c r="A351" s="83"/>
      <c r="B351" s="35"/>
      <c r="E351" s="35"/>
    </row>
    <row r="352">
      <c r="A352" s="83"/>
      <c r="B352" s="35"/>
      <c r="E352" s="35"/>
    </row>
    <row r="353">
      <c r="A353" s="83"/>
      <c r="B353" s="35"/>
      <c r="E353" s="35"/>
    </row>
    <row r="354">
      <c r="A354" s="83"/>
      <c r="B354" s="35"/>
      <c r="E354" s="35"/>
    </row>
    <row r="355">
      <c r="A355" s="83"/>
      <c r="B355" s="35"/>
      <c r="E355" s="35"/>
    </row>
    <row r="356">
      <c r="A356" s="83"/>
      <c r="B356" s="35"/>
      <c r="E356" s="35"/>
    </row>
    <row r="357">
      <c r="A357" s="83"/>
      <c r="B357" s="35"/>
      <c r="E357" s="35"/>
    </row>
    <row r="358">
      <c r="A358" s="83"/>
      <c r="B358" s="35"/>
      <c r="E358" s="35"/>
    </row>
    <row r="359">
      <c r="A359" s="83"/>
      <c r="B359" s="35"/>
      <c r="E359" s="35"/>
    </row>
    <row r="360">
      <c r="A360" s="83"/>
      <c r="B360" s="35"/>
      <c r="E360" s="35"/>
    </row>
    <row r="361">
      <c r="A361" s="83"/>
      <c r="B361" s="35"/>
      <c r="E361" s="35"/>
    </row>
    <row r="362">
      <c r="A362" s="83"/>
      <c r="B362" s="35"/>
      <c r="E362" s="35"/>
    </row>
    <row r="363">
      <c r="A363" s="83"/>
      <c r="B363" s="35"/>
      <c r="E363" s="35"/>
    </row>
    <row r="364">
      <c r="A364" s="83"/>
      <c r="B364" s="35"/>
      <c r="E364" s="35"/>
    </row>
    <row r="365">
      <c r="A365" s="83"/>
      <c r="B365" s="35"/>
      <c r="E365" s="35"/>
    </row>
    <row r="366">
      <c r="A366" s="83"/>
      <c r="B366" s="35"/>
      <c r="E366" s="35"/>
    </row>
    <row r="367">
      <c r="A367" s="83"/>
      <c r="B367" s="35"/>
      <c r="E367" s="35"/>
    </row>
    <row r="368">
      <c r="A368" s="83"/>
      <c r="B368" s="35"/>
      <c r="E368" s="35"/>
    </row>
    <row r="369">
      <c r="A369" s="83"/>
      <c r="B369" s="35"/>
      <c r="E369" s="35"/>
    </row>
    <row r="370">
      <c r="A370" s="83"/>
      <c r="B370" s="35"/>
      <c r="E370" s="35"/>
    </row>
    <row r="371">
      <c r="A371" s="83"/>
      <c r="B371" s="35"/>
      <c r="E371" s="35"/>
    </row>
    <row r="372">
      <c r="A372" s="83"/>
      <c r="B372" s="35"/>
      <c r="E372" s="35"/>
    </row>
    <row r="373">
      <c r="A373" s="83"/>
      <c r="B373" s="35"/>
      <c r="E373" s="35"/>
    </row>
    <row r="374">
      <c r="A374" s="83"/>
      <c r="B374" s="35"/>
      <c r="E374" s="35"/>
    </row>
    <row r="375">
      <c r="A375" s="83"/>
      <c r="B375" s="35"/>
      <c r="E375" s="35"/>
    </row>
    <row r="376">
      <c r="A376" s="83"/>
      <c r="B376" s="35"/>
      <c r="E376" s="35"/>
    </row>
    <row r="377">
      <c r="A377" s="83"/>
      <c r="B377" s="35"/>
      <c r="E377" s="35"/>
    </row>
    <row r="378">
      <c r="A378" s="83"/>
      <c r="B378" s="35"/>
      <c r="E378" s="35"/>
    </row>
    <row r="379">
      <c r="A379" s="83"/>
      <c r="B379" s="35"/>
      <c r="E379" s="35"/>
    </row>
    <row r="380">
      <c r="A380" s="83"/>
      <c r="B380" s="35"/>
      <c r="E380" s="35"/>
    </row>
    <row r="381">
      <c r="A381" s="83"/>
      <c r="B381" s="35"/>
      <c r="E381" s="35"/>
    </row>
    <row r="382">
      <c r="A382" s="83"/>
      <c r="B382" s="35"/>
      <c r="E382" s="35"/>
    </row>
    <row r="383">
      <c r="A383" s="83"/>
      <c r="B383" s="35"/>
      <c r="E383" s="35"/>
    </row>
    <row r="384">
      <c r="A384" s="83"/>
      <c r="B384" s="35"/>
      <c r="E384" s="35"/>
    </row>
    <row r="385">
      <c r="A385" s="83"/>
      <c r="B385" s="35"/>
      <c r="E385" s="35"/>
    </row>
    <row r="386">
      <c r="A386" s="83"/>
      <c r="B386" s="35"/>
      <c r="E386" s="35"/>
    </row>
    <row r="387">
      <c r="A387" s="83"/>
      <c r="B387" s="35"/>
      <c r="E387" s="35"/>
    </row>
    <row r="388">
      <c r="A388" s="83"/>
      <c r="B388" s="35"/>
      <c r="E388" s="35"/>
    </row>
    <row r="389">
      <c r="A389" s="83"/>
      <c r="B389" s="35"/>
      <c r="E389" s="35"/>
    </row>
    <row r="390">
      <c r="A390" s="83"/>
      <c r="B390" s="35"/>
      <c r="E390" s="35"/>
    </row>
    <row r="391">
      <c r="A391" s="83"/>
      <c r="B391" s="35"/>
      <c r="E391" s="35"/>
    </row>
    <row r="392">
      <c r="A392" s="83"/>
      <c r="B392" s="35"/>
      <c r="E392" s="35"/>
    </row>
    <row r="393">
      <c r="A393" s="83"/>
      <c r="B393" s="35"/>
      <c r="E393" s="35"/>
    </row>
    <row r="394">
      <c r="A394" s="83"/>
      <c r="B394" s="35"/>
      <c r="E394" s="35"/>
    </row>
    <row r="395">
      <c r="A395" s="83"/>
      <c r="B395" s="35"/>
      <c r="E395" s="35"/>
    </row>
    <row r="396">
      <c r="A396" s="83"/>
      <c r="B396" s="35"/>
      <c r="E396" s="35"/>
    </row>
    <row r="397">
      <c r="A397" s="83"/>
      <c r="B397" s="35"/>
      <c r="E397" s="35"/>
    </row>
    <row r="398">
      <c r="A398" s="83"/>
      <c r="B398" s="35"/>
      <c r="E398" s="35"/>
    </row>
    <row r="399">
      <c r="A399" s="83"/>
      <c r="B399" s="35"/>
      <c r="E399" s="35"/>
    </row>
    <row r="400">
      <c r="A400" s="83"/>
      <c r="B400" s="35"/>
      <c r="E400" s="35"/>
    </row>
    <row r="401">
      <c r="A401" s="83"/>
      <c r="B401" s="35"/>
      <c r="E401" s="35"/>
    </row>
    <row r="402">
      <c r="A402" s="83"/>
      <c r="B402" s="35"/>
      <c r="E402" s="35"/>
    </row>
    <row r="403">
      <c r="A403" s="83"/>
      <c r="B403" s="35"/>
      <c r="E403" s="35"/>
    </row>
    <row r="404">
      <c r="A404" s="83"/>
      <c r="B404" s="35"/>
      <c r="E404" s="35"/>
    </row>
    <row r="405">
      <c r="A405" s="83"/>
      <c r="B405" s="35"/>
      <c r="E405" s="35"/>
    </row>
    <row r="406">
      <c r="A406" s="83"/>
      <c r="B406" s="35"/>
      <c r="E406" s="35"/>
    </row>
    <row r="407">
      <c r="A407" s="83"/>
      <c r="B407" s="35"/>
      <c r="E407" s="35"/>
    </row>
    <row r="408">
      <c r="A408" s="83"/>
      <c r="B408" s="35"/>
      <c r="E408" s="35"/>
    </row>
    <row r="409">
      <c r="A409" s="83"/>
      <c r="B409" s="35"/>
      <c r="E409" s="35"/>
    </row>
    <row r="410">
      <c r="A410" s="83"/>
      <c r="B410" s="35"/>
      <c r="E410" s="35"/>
    </row>
    <row r="411">
      <c r="A411" s="83"/>
      <c r="B411" s="35"/>
      <c r="E411" s="35"/>
    </row>
    <row r="412">
      <c r="A412" s="83"/>
      <c r="B412" s="35"/>
      <c r="E412" s="35"/>
    </row>
    <row r="413">
      <c r="A413" s="83"/>
      <c r="B413" s="35"/>
      <c r="E413" s="35"/>
    </row>
    <row r="414">
      <c r="A414" s="83"/>
      <c r="B414" s="35"/>
      <c r="E414" s="35"/>
    </row>
    <row r="415">
      <c r="A415" s="83"/>
      <c r="B415" s="35"/>
      <c r="E415" s="35"/>
    </row>
    <row r="416">
      <c r="A416" s="83"/>
      <c r="B416" s="35"/>
      <c r="E416" s="35"/>
    </row>
    <row r="417">
      <c r="A417" s="83"/>
      <c r="B417" s="35"/>
      <c r="E417" s="35"/>
    </row>
    <row r="418">
      <c r="A418" s="83"/>
      <c r="B418" s="35"/>
      <c r="E418" s="35"/>
    </row>
    <row r="419">
      <c r="A419" s="83"/>
      <c r="B419" s="35"/>
      <c r="E419" s="35"/>
    </row>
    <row r="420">
      <c r="A420" s="83"/>
      <c r="B420" s="35"/>
      <c r="E420" s="35"/>
    </row>
    <row r="421">
      <c r="A421" s="83"/>
      <c r="B421" s="35"/>
      <c r="E421" s="35"/>
    </row>
    <row r="422">
      <c r="A422" s="83"/>
      <c r="B422" s="35"/>
      <c r="E422" s="35"/>
    </row>
    <row r="423">
      <c r="A423" s="83"/>
      <c r="B423" s="35"/>
      <c r="E423" s="35"/>
    </row>
    <row r="424">
      <c r="A424" s="83"/>
      <c r="B424" s="35"/>
      <c r="E424" s="35"/>
    </row>
    <row r="425">
      <c r="A425" s="83"/>
      <c r="B425" s="35"/>
      <c r="E425" s="35"/>
    </row>
    <row r="426">
      <c r="A426" s="83"/>
      <c r="B426" s="35"/>
      <c r="E426" s="35"/>
    </row>
    <row r="427">
      <c r="A427" s="83"/>
      <c r="B427" s="35"/>
      <c r="E427" s="35"/>
    </row>
    <row r="428">
      <c r="A428" s="83"/>
      <c r="B428" s="35"/>
      <c r="E428" s="35"/>
    </row>
    <row r="429">
      <c r="A429" s="83"/>
      <c r="B429" s="35"/>
      <c r="E429" s="35"/>
    </row>
    <row r="430">
      <c r="A430" s="83"/>
      <c r="B430" s="35"/>
      <c r="E430" s="35"/>
    </row>
    <row r="431">
      <c r="A431" s="83"/>
      <c r="B431" s="35"/>
      <c r="E431" s="35"/>
    </row>
    <row r="432">
      <c r="A432" s="83"/>
      <c r="B432" s="35"/>
      <c r="E432" s="35"/>
    </row>
    <row r="433">
      <c r="A433" s="83"/>
      <c r="B433" s="35"/>
      <c r="E433" s="35"/>
    </row>
    <row r="434">
      <c r="A434" s="83"/>
      <c r="B434" s="35"/>
      <c r="E434" s="35"/>
    </row>
    <row r="435">
      <c r="A435" s="83"/>
      <c r="B435" s="35"/>
      <c r="E435" s="35"/>
    </row>
    <row r="436">
      <c r="A436" s="83"/>
      <c r="B436" s="35"/>
      <c r="E436" s="35"/>
    </row>
    <row r="437">
      <c r="A437" s="83"/>
      <c r="B437" s="35"/>
      <c r="E437" s="35"/>
    </row>
    <row r="438">
      <c r="A438" s="83"/>
      <c r="B438" s="35"/>
      <c r="E438" s="35"/>
    </row>
    <row r="439">
      <c r="A439" s="83"/>
      <c r="B439" s="35"/>
      <c r="E439" s="35"/>
    </row>
    <row r="440">
      <c r="A440" s="83"/>
      <c r="B440" s="35"/>
      <c r="E440" s="35"/>
    </row>
    <row r="441">
      <c r="A441" s="83"/>
      <c r="B441" s="35"/>
      <c r="E441" s="35"/>
    </row>
    <row r="442">
      <c r="A442" s="83"/>
      <c r="B442" s="35"/>
      <c r="E442" s="35"/>
    </row>
    <row r="443">
      <c r="A443" s="83"/>
      <c r="B443" s="35"/>
      <c r="E443" s="35"/>
    </row>
    <row r="444">
      <c r="A444" s="83"/>
      <c r="B444" s="35"/>
      <c r="E444" s="35"/>
    </row>
    <row r="445">
      <c r="A445" s="83"/>
      <c r="B445" s="35"/>
      <c r="E445" s="35"/>
    </row>
    <row r="446">
      <c r="A446" s="83"/>
      <c r="B446" s="35"/>
      <c r="E446" s="35"/>
    </row>
    <row r="447">
      <c r="A447" s="83"/>
      <c r="B447" s="35"/>
      <c r="E447" s="35"/>
    </row>
    <row r="448">
      <c r="A448" s="83"/>
      <c r="B448" s="35"/>
      <c r="E448" s="35"/>
    </row>
    <row r="449">
      <c r="A449" s="83"/>
      <c r="B449" s="35"/>
      <c r="E449" s="35"/>
    </row>
    <row r="450">
      <c r="A450" s="83"/>
      <c r="B450" s="35"/>
      <c r="E450" s="35"/>
    </row>
    <row r="451">
      <c r="A451" s="83"/>
      <c r="B451" s="35"/>
      <c r="E451" s="35"/>
    </row>
    <row r="452">
      <c r="A452" s="83"/>
      <c r="B452" s="35"/>
      <c r="E452" s="35"/>
    </row>
    <row r="453">
      <c r="A453" s="83"/>
      <c r="B453" s="35"/>
      <c r="E453" s="35"/>
    </row>
    <row r="454">
      <c r="A454" s="83"/>
      <c r="B454" s="35"/>
      <c r="E454" s="35"/>
    </row>
    <row r="455">
      <c r="A455" s="83"/>
      <c r="B455" s="35"/>
      <c r="E455" s="35"/>
    </row>
    <row r="456">
      <c r="A456" s="83"/>
      <c r="B456" s="35"/>
      <c r="E456" s="35"/>
    </row>
    <row r="457">
      <c r="A457" s="83"/>
      <c r="B457" s="35"/>
      <c r="E457" s="35"/>
    </row>
    <row r="458">
      <c r="A458" s="83"/>
      <c r="B458" s="35"/>
      <c r="E458" s="35"/>
    </row>
    <row r="459">
      <c r="A459" s="83"/>
      <c r="B459" s="35"/>
      <c r="E459" s="35"/>
    </row>
    <row r="460">
      <c r="A460" s="83"/>
      <c r="B460" s="35"/>
      <c r="E460" s="35"/>
    </row>
    <row r="461">
      <c r="A461" s="83"/>
      <c r="B461" s="35"/>
      <c r="E461" s="35"/>
    </row>
    <row r="462">
      <c r="A462" s="83"/>
      <c r="B462" s="35"/>
      <c r="E462" s="35"/>
    </row>
    <row r="463">
      <c r="A463" s="83"/>
      <c r="B463" s="35"/>
      <c r="E463" s="35"/>
    </row>
    <row r="464">
      <c r="A464" s="83"/>
      <c r="B464" s="35"/>
      <c r="E464" s="35"/>
    </row>
    <row r="465">
      <c r="A465" s="83"/>
      <c r="B465" s="35"/>
      <c r="E465" s="35"/>
    </row>
    <row r="466">
      <c r="A466" s="83"/>
      <c r="B466" s="35"/>
      <c r="E466" s="35"/>
    </row>
    <row r="467">
      <c r="A467" s="83"/>
      <c r="B467" s="35"/>
      <c r="E467" s="35"/>
    </row>
    <row r="468">
      <c r="A468" s="83"/>
      <c r="B468" s="35"/>
      <c r="E468" s="35"/>
    </row>
    <row r="469">
      <c r="A469" s="83"/>
      <c r="B469" s="35"/>
      <c r="E469" s="35"/>
    </row>
    <row r="470">
      <c r="A470" s="83"/>
      <c r="B470" s="35"/>
      <c r="E470" s="35"/>
    </row>
    <row r="471">
      <c r="A471" s="83"/>
      <c r="B471" s="35"/>
      <c r="E471" s="35"/>
    </row>
    <row r="472">
      <c r="A472" s="83"/>
      <c r="B472" s="35"/>
      <c r="E472" s="35"/>
    </row>
    <row r="473">
      <c r="A473" s="83"/>
      <c r="B473" s="35"/>
      <c r="E473" s="35"/>
    </row>
    <row r="474">
      <c r="A474" s="83"/>
      <c r="B474" s="35"/>
      <c r="E474" s="35"/>
    </row>
    <row r="475">
      <c r="A475" s="83"/>
      <c r="B475" s="35"/>
      <c r="E475" s="35"/>
    </row>
    <row r="476">
      <c r="A476" s="83"/>
      <c r="B476" s="35"/>
      <c r="E476" s="35"/>
    </row>
    <row r="477">
      <c r="A477" s="83"/>
      <c r="B477" s="35"/>
      <c r="E477" s="35"/>
    </row>
    <row r="478">
      <c r="A478" s="83"/>
      <c r="B478" s="35"/>
      <c r="E478" s="35"/>
    </row>
    <row r="479">
      <c r="A479" s="83"/>
      <c r="B479" s="35"/>
      <c r="E479" s="35"/>
    </row>
    <row r="480">
      <c r="A480" s="83"/>
      <c r="B480" s="35"/>
      <c r="E480" s="35"/>
    </row>
    <row r="481">
      <c r="A481" s="83"/>
      <c r="B481" s="35"/>
      <c r="E481" s="35"/>
    </row>
    <row r="482">
      <c r="A482" s="83"/>
      <c r="B482" s="35"/>
      <c r="E482" s="35"/>
    </row>
    <row r="483">
      <c r="A483" s="83"/>
      <c r="B483" s="35"/>
      <c r="E483" s="35"/>
    </row>
    <row r="484">
      <c r="A484" s="83"/>
      <c r="B484" s="35"/>
      <c r="E484" s="35"/>
    </row>
    <row r="485">
      <c r="A485" s="83"/>
      <c r="B485" s="35"/>
      <c r="E485" s="35"/>
    </row>
    <row r="486">
      <c r="A486" s="83"/>
      <c r="B486" s="35"/>
      <c r="E486" s="35"/>
    </row>
    <row r="487">
      <c r="A487" s="83"/>
      <c r="B487" s="35"/>
      <c r="E487" s="35"/>
    </row>
    <row r="488">
      <c r="A488" s="83"/>
      <c r="B488" s="35"/>
      <c r="E488" s="35"/>
    </row>
    <row r="489">
      <c r="A489" s="83"/>
      <c r="B489" s="35"/>
      <c r="E489" s="35"/>
    </row>
    <row r="490">
      <c r="A490" s="83"/>
      <c r="B490" s="35"/>
      <c r="E490" s="35"/>
    </row>
    <row r="491">
      <c r="A491" s="83"/>
      <c r="B491" s="35"/>
      <c r="E491" s="35"/>
    </row>
    <row r="492">
      <c r="A492" s="83"/>
      <c r="B492" s="35"/>
      <c r="E492" s="35"/>
    </row>
    <row r="493">
      <c r="A493" s="83"/>
      <c r="B493" s="35"/>
      <c r="E493" s="35"/>
    </row>
    <row r="494">
      <c r="A494" s="83"/>
      <c r="B494" s="35"/>
      <c r="E494" s="35"/>
    </row>
    <row r="495">
      <c r="A495" s="83"/>
      <c r="B495" s="35"/>
      <c r="E495" s="35"/>
    </row>
    <row r="496">
      <c r="A496" s="83"/>
      <c r="B496" s="35"/>
      <c r="E496" s="35"/>
    </row>
    <row r="497">
      <c r="A497" s="83"/>
      <c r="B497" s="35"/>
      <c r="E497" s="35"/>
    </row>
    <row r="498">
      <c r="A498" s="83"/>
      <c r="B498" s="35"/>
      <c r="E498" s="35"/>
    </row>
    <row r="499">
      <c r="A499" s="83"/>
      <c r="B499" s="35"/>
      <c r="E499" s="35"/>
    </row>
    <row r="500">
      <c r="A500" s="83"/>
      <c r="B500" s="35"/>
      <c r="E500" s="35"/>
    </row>
    <row r="501">
      <c r="A501" s="83"/>
      <c r="B501" s="35"/>
      <c r="E501" s="35"/>
    </row>
    <row r="502">
      <c r="A502" s="83"/>
      <c r="B502" s="35"/>
      <c r="E502" s="35"/>
    </row>
    <row r="503">
      <c r="A503" s="83"/>
      <c r="B503" s="35"/>
      <c r="E503" s="35"/>
    </row>
    <row r="504">
      <c r="A504" s="83"/>
      <c r="B504" s="35"/>
      <c r="E504" s="35"/>
    </row>
    <row r="505">
      <c r="A505" s="83"/>
      <c r="B505" s="35"/>
      <c r="E505" s="35"/>
    </row>
    <row r="506">
      <c r="A506" s="83"/>
      <c r="B506" s="35"/>
      <c r="E506" s="35"/>
    </row>
    <row r="507">
      <c r="A507" s="83"/>
      <c r="B507" s="35"/>
      <c r="E507" s="35"/>
    </row>
    <row r="508">
      <c r="A508" s="83"/>
      <c r="B508" s="35"/>
      <c r="E508" s="35"/>
    </row>
    <row r="509">
      <c r="A509" s="83"/>
      <c r="B509" s="35"/>
      <c r="E509" s="35"/>
    </row>
    <row r="510">
      <c r="A510" s="83"/>
      <c r="B510" s="35"/>
      <c r="E510" s="35"/>
    </row>
    <row r="511">
      <c r="A511" s="83"/>
      <c r="B511" s="35"/>
      <c r="E511" s="35"/>
    </row>
    <row r="512">
      <c r="A512" s="83"/>
      <c r="B512" s="35"/>
      <c r="E512" s="35"/>
    </row>
    <row r="513">
      <c r="A513" s="83"/>
      <c r="B513" s="35"/>
      <c r="E513" s="35"/>
    </row>
    <row r="514">
      <c r="A514" s="83"/>
      <c r="B514" s="35"/>
      <c r="E514" s="35"/>
    </row>
    <row r="515">
      <c r="A515" s="83"/>
      <c r="B515" s="35"/>
      <c r="E515" s="35"/>
    </row>
    <row r="516">
      <c r="A516" s="83"/>
      <c r="B516" s="35"/>
      <c r="E516" s="35"/>
    </row>
    <row r="517">
      <c r="A517" s="83"/>
      <c r="B517" s="35"/>
      <c r="E517" s="35"/>
    </row>
    <row r="518">
      <c r="A518" s="83"/>
      <c r="B518" s="35"/>
      <c r="E518" s="35"/>
    </row>
    <row r="519">
      <c r="A519" s="83"/>
      <c r="B519" s="35"/>
      <c r="E519" s="35"/>
    </row>
    <row r="520">
      <c r="A520" s="83"/>
      <c r="B520" s="35"/>
      <c r="E520" s="35"/>
    </row>
    <row r="521">
      <c r="A521" s="83"/>
      <c r="B521" s="35"/>
      <c r="E521" s="35"/>
    </row>
    <row r="522">
      <c r="A522" s="83"/>
      <c r="B522" s="35"/>
      <c r="E522" s="35"/>
    </row>
    <row r="523">
      <c r="A523" s="83"/>
      <c r="B523" s="35"/>
      <c r="E523" s="35"/>
    </row>
    <row r="524">
      <c r="A524" s="83"/>
      <c r="B524" s="35"/>
      <c r="E524" s="35"/>
    </row>
    <row r="525">
      <c r="A525" s="83"/>
      <c r="B525" s="35"/>
      <c r="E525" s="35"/>
    </row>
    <row r="526">
      <c r="A526" s="83"/>
      <c r="B526" s="35"/>
      <c r="E526" s="35"/>
    </row>
    <row r="527">
      <c r="A527" s="83"/>
      <c r="B527" s="35"/>
      <c r="E527" s="35"/>
    </row>
    <row r="528">
      <c r="A528" s="83"/>
      <c r="B528" s="35"/>
      <c r="E528" s="35"/>
    </row>
    <row r="529">
      <c r="A529" s="83"/>
      <c r="B529" s="35"/>
      <c r="E529" s="35"/>
    </row>
    <row r="530">
      <c r="A530" s="83"/>
      <c r="B530" s="35"/>
      <c r="E530" s="35"/>
    </row>
    <row r="531">
      <c r="A531" s="83"/>
      <c r="B531" s="35"/>
      <c r="E531" s="35"/>
    </row>
    <row r="532">
      <c r="A532" s="83"/>
      <c r="B532" s="35"/>
      <c r="E532" s="35"/>
    </row>
    <row r="533">
      <c r="A533" s="83"/>
      <c r="B533" s="35"/>
      <c r="E533" s="35"/>
    </row>
    <row r="534">
      <c r="A534" s="83"/>
      <c r="B534" s="35"/>
      <c r="E534" s="35"/>
    </row>
    <row r="535">
      <c r="A535" s="83"/>
      <c r="B535" s="35"/>
      <c r="E535" s="35"/>
    </row>
    <row r="536">
      <c r="A536" s="83"/>
      <c r="B536" s="35"/>
      <c r="E536" s="35"/>
    </row>
    <row r="537">
      <c r="A537" s="83"/>
      <c r="B537" s="35"/>
      <c r="E537" s="35"/>
    </row>
    <row r="538">
      <c r="A538" s="83"/>
      <c r="B538" s="35"/>
      <c r="E538" s="35"/>
    </row>
    <row r="539">
      <c r="A539" s="83"/>
      <c r="B539" s="35"/>
      <c r="E539" s="35"/>
    </row>
    <row r="540">
      <c r="A540" s="83"/>
      <c r="B540" s="35"/>
      <c r="E540" s="35"/>
    </row>
    <row r="541">
      <c r="A541" s="83"/>
      <c r="B541" s="35"/>
      <c r="E541" s="35"/>
    </row>
    <row r="542">
      <c r="A542" s="83"/>
      <c r="B542" s="35"/>
      <c r="E542" s="35"/>
    </row>
    <row r="543">
      <c r="A543" s="83"/>
      <c r="B543" s="35"/>
      <c r="E543" s="35"/>
    </row>
    <row r="544">
      <c r="A544" s="83"/>
      <c r="B544" s="35"/>
      <c r="E544" s="35"/>
    </row>
    <row r="545">
      <c r="A545" s="83"/>
      <c r="B545" s="35"/>
      <c r="E545" s="35"/>
    </row>
    <row r="546">
      <c r="A546" s="83"/>
      <c r="B546" s="35"/>
      <c r="E546" s="35"/>
    </row>
    <row r="547">
      <c r="A547" s="83"/>
      <c r="B547" s="35"/>
      <c r="E547" s="35"/>
    </row>
    <row r="548">
      <c r="A548" s="83"/>
      <c r="B548" s="35"/>
      <c r="E548" s="35"/>
    </row>
    <row r="549">
      <c r="A549" s="83"/>
      <c r="B549" s="35"/>
      <c r="E549" s="35"/>
    </row>
    <row r="550">
      <c r="A550" s="83"/>
      <c r="B550" s="35"/>
      <c r="E550" s="35"/>
    </row>
    <row r="551">
      <c r="A551" s="83"/>
      <c r="B551" s="35"/>
      <c r="E551" s="35"/>
    </row>
    <row r="552">
      <c r="A552" s="83"/>
      <c r="B552" s="35"/>
      <c r="E552" s="35"/>
    </row>
    <row r="553">
      <c r="A553" s="83"/>
      <c r="B553" s="35"/>
      <c r="E553" s="35"/>
    </row>
    <row r="554">
      <c r="A554" s="83"/>
      <c r="B554" s="35"/>
      <c r="E554" s="35"/>
    </row>
    <row r="555">
      <c r="A555" s="83"/>
      <c r="B555" s="35"/>
      <c r="E555" s="35"/>
    </row>
    <row r="556">
      <c r="A556" s="83"/>
      <c r="B556" s="35"/>
      <c r="E556" s="35"/>
    </row>
    <row r="557">
      <c r="A557" s="83"/>
      <c r="B557" s="35"/>
      <c r="E557" s="35"/>
    </row>
    <row r="558">
      <c r="A558" s="83"/>
      <c r="B558" s="35"/>
      <c r="E558" s="35"/>
    </row>
    <row r="559">
      <c r="A559" s="83"/>
      <c r="B559" s="35"/>
      <c r="E559" s="35"/>
    </row>
    <row r="560">
      <c r="A560" s="83"/>
      <c r="B560" s="35"/>
      <c r="E560" s="35"/>
    </row>
    <row r="561">
      <c r="A561" s="83"/>
      <c r="B561" s="35"/>
      <c r="E561" s="35"/>
    </row>
    <row r="562">
      <c r="A562" s="83"/>
      <c r="B562" s="35"/>
      <c r="E562" s="35"/>
    </row>
    <row r="563">
      <c r="A563" s="83"/>
      <c r="B563" s="35"/>
      <c r="E563" s="35"/>
    </row>
    <row r="564">
      <c r="A564" s="83"/>
      <c r="B564" s="35"/>
      <c r="E564" s="35"/>
    </row>
    <row r="565">
      <c r="A565" s="83"/>
      <c r="B565" s="35"/>
      <c r="E565" s="35"/>
    </row>
    <row r="566">
      <c r="A566" s="83"/>
      <c r="B566" s="35"/>
      <c r="E566" s="35"/>
    </row>
    <row r="567">
      <c r="A567" s="83"/>
      <c r="B567" s="35"/>
      <c r="E567" s="35"/>
    </row>
    <row r="568">
      <c r="A568" s="83"/>
      <c r="B568" s="35"/>
      <c r="E568" s="35"/>
    </row>
    <row r="569">
      <c r="A569" s="83"/>
      <c r="B569" s="35"/>
      <c r="E569" s="35"/>
    </row>
    <row r="570">
      <c r="A570" s="83"/>
      <c r="B570" s="35"/>
      <c r="E570" s="35"/>
    </row>
    <row r="571">
      <c r="A571" s="83"/>
      <c r="B571" s="35"/>
      <c r="E571" s="35"/>
    </row>
    <row r="572">
      <c r="A572" s="83"/>
      <c r="B572" s="35"/>
      <c r="E572" s="35"/>
    </row>
    <row r="573">
      <c r="A573" s="83"/>
      <c r="B573" s="35"/>
      <c r="E573" s="35"/>
    </row>
    <row r="574">
      <c r="A574" s="83"/>
      <c r="B574" s="35"/>
      <c r="E574" s="35"/>
    </row>
    <row r="575">
      <c r="A575" s="83"/>
      <c r="B575" s="35"/>
      <c r="E575" s="35"/>
    </row>
    <row r="576">
      <c r="A576" s="83"/>
      <c r="B576" s="35"/>
      <c r="E576" s="35"/>
    </row>
    <row r="577">
      <c r="A577" s="83"/>
      <c r="B577" s="35"/>
      <c r="E577" s="35"/>
    </row>
    <row r="578">
      <c r="A578" s="83"/>
      <c r="B578" s="35"/>
      <c r="E578" s="35"/>
    </row>
    <row r="579">
      <c r="A579" s="83"/>
      <c r="B579" s="35"/>
      <c r="E579" s="35"/>
    </row>
    <row r="580">
      <c r="A580" s="83"/>
      <c r="B580" s="35"/>
      <c r="E580" s="35"/>
    </row>
    <row r="581">
      <c r="A581" s="83"/>
      <c r="B581" s="35"/>
      <c r="E581" s="35"/>
    </row>
    <row r="582">
      <c r="A582" s="83"/>
      <c r="B582" s="35"/>
      <c r="E582" s="35"/>
    </row>
    <row r="583">
      <c r="A583" s="83"/>
      <c r="B583" s="35"/>
      <c r="E583" s="35"/>
    </row>
    <row r="584">
      <c r="A584" s="83"/>
      <c r="B584" s="35"/>
      <c r="E584" s="35"/>
    </row>
    <row r="585">
      <c r="A585" s="83"/>
      <c r="B585" s="35"/>
      <c r="E585" s="35"/>
    </row>
    <row r="586">
      <c r="A586" s="83"/>
      <c r="B586" s="35"/>
      <c r="E586" s="35"/>
    </row>
    <row r="587">
      <c r="A587" s="83"/>
      <c r="B587" s="35"/>
      <c r="E587" s="35"/>
    </row>
    <row r="588">
      <c r="A588" s="83"/>
      <c r="B588" s="35"/>
      <c r="E588" s="35"/>
    </row>
    <row r="589">
      <c r="A589" s="83"/>
      <c r="B589" s="35"/>
      <c r="E589" s="35"/>
    </row>
    <row r="590">
      <c r="A590" s="83"/>
      <c r="B590" s="35"/>
      <c r="E590" s="35"/>
    </row>
    <row r="591">
      <c r="A591" s="83"/>
      <c r="B591" s="35"/>
      <c r="E591" s="35"/>
    </row>
    <row r="592">
      <c r="A592" s="83"/>
      <c r="B592" s="35"/>
      <c r="E592" s="35"/>
    </row>
    <row r="593">
      <c r="A593" s="83"/>
      <c r="B593" s="35"/>
      <c r="E593" s="35"/>
    </row>
    <row r="594">
      <c r="A594" s="83"/>
      <c r="B594" s="35"/>
      <c r="E594" s="35"/>
    </row>
    <row r="595">
      <c r="A595" s="83"/>
      <c r="B595" s="35"/>
      <c r="E595" s="35"/>
    </row>
    <row r="596">
      <c r="A596" s="83"/>
      <c r="B596" s="35"/>
      <c r="E596" s="35"/>
    </row>
    <row r="597">
      <c r="A597" s="83"/>
      <c r="B597" s="35"/>
      <c r="E597" s="35"/>
    </row>
    <row r="598">
      <c r="A598" s="83"/>
      <c r="B598" s="35"/>
      <c r="E598" s="35"/>
    </row>
    <row r="599">
      <c r="A599" s="83"/>
      <c r="B599" s="35"/>
      <c r="E599" s="35"/>
    </row>
    <row r="600">
      <c r="A600" s="83"/>
      <c r="B600" s="35"/>
      <c r="E600" s="35"/>
    </row>
    <row r="601">
      <c r="A601" s="83"/>
      <c r="B601" s="35"/>
      <c r="E601" s="35"/>
    </row>
    <row r="602">
      <c r="A602" s="83"/>
      <c r="B602" s="35"/>
      <c r="E602" s="35"/>
    </row>
    <row r="603">
      <c r="A603" s="83"/>
      <c r="B603" s="35"/>
      <c r="E603" s="35"/>
    </row>
    <row r="604">
      <c r="A604" s="83"/>
      <c r="B604" s="35"/>
      <c r="E604" s="35"/>
    </row>
    <row r="605">
      <c r="A605" s="83"/>
      <c r="B605" s="35"/>
      <c r="E605" s="35"/>
    </row>
    <row r="606">
      <c r="A606" s="83"/>
      <c r="B606" s="35"/>
      <c r="E606" s="35"/>
    </row>
    <row r="607">
      <c r="A607" s="83"/>
      <c r="B607" s="35"/>
      <c r="E607" s="35"/>
    </row>
    <row r="608">
      <c r="A608" s="83"/>
      <c r="B608" s="35"/>
      <c r="E608" s="35"/>
    </row>
    <row r="609">
      <c r="A609" s="83"/>
      <c r="B609" s="35"/>
      <c r="E609" s="35"/>
    </row>
    <row r="610">
      <c r="A610" s="83"/>
      <c r="B610" s="35"/>
      <c r="E610" s="35"/>
    </row>
    <row r="611">
      <c r="A611" s="83"/>
      <c r="B611" s="35"/>
      <c r="E611" s="35"/>
    </row>
    <row r="612">
      <c r="A612" s="83"/>
      <c r="B612" s="35"/>
      <c r="E612" s="35"/>
    </row>
    <row r="613">
      <c r="A613" s="83"/>
      <c r="B613" s="35"/>
      <c r="E613" s="35"/>
    </row>
    <row r="614">
      <c r="A614" s="83"/>
      <c r="B614" s="35"/>
      <c r="E614" s="35"/>
    </row>
    <row r="615">
      <c r="A615" s="83"/>
      <c r="B615" s="35"/>
      <c r="E615" s="35"/>
    </row>
    <row r="616">
      <c r="A616" s="83"/>
      <c r="B616" s="35"/>
      <c r="E616" s="35"/>
    </row>
    <row r="617">
      <c r="A617" s="83"/>
      <c r="B617" s="35"/>
      <c r="E617" s="35"/>
    </row>
    <row r="618">
      <c r="A618" s="83"/>
      <c r="B618" s="35"/>
      <c r="E618" s="35"/>
    </row>
    <row r="619">
      <c r="A619" s="83"/>
      <c r="B619" s="35"/>
      <c r="E619" s="35"/>
    </row>
    <row r="620">
      <c r="A620" s="83"/>
      <c r="B620" s="35"/>
      <c r="E620" s="35"/>
    </row>
    <row r="621">
      <c r="A621" s="83"/>
      <c r="B621" s="35"/>
      <c r="E621" s="35"/>
    </row>
    <row r="622">
      <c r="A622" s="83"/>
      <c r="B622" s="35"/>
      <c r="E622" s="35"/>
    </row>
    <row r="623">
      <c r="A623" s="83"/>
      <c r="B623" s="35"/>
      <c r="E623" s="35"/>
    </row>
    <row r="624">
      <c r="A624" s="83"/>
      <c r="B624" s="35"/>
      <c r="E624" s="35"/>
    </row>
    <row r="625">
      <c r="A625" s="83"/>
      <c r="B625" s="35"/>
      <c r="E625" s="35"/>
    </row>
    <row r="626">
      <c r="A626" s="83"/>
      <c r="B626" s="35"/>
      <c r="E626" s="35"/>
    </row>
    <row r="627">
      <c r="A627" s="83"/>
      <c r="B627" s="35"/>
      <c r="E627" s="35"/>
    </row>
    <row r="628">
      <c r="A628" s="83"/>
      <c r="B628" s="35"/>
      <c r="E628" s="35"/>
    </row>
    <row r="629">
      <c r="A629" s="83"/>
      <c r="B629" s="35"/>
      <c r="E629" s="35"/>
    </row>
    <row r="630">
      <c r="A630" s="83"/>
      <c r="B630" s="35"/>
      <c r="E630" s="35"/>
    </row>
    <row r="631">
      <c r="A631" s="83"/>
      <c r="B631" s="35"/>
      <c r="E631" s="35"/>
    </row>
    <row r="632">
      <c r="A632" s="83"/>
      <c r="B632" s="35"/>
      <c r="E632" s="35"/>
    </row>
    <row r="633">
      <c r="A633" s="83"/>
      <c r="B633" s="35"/>
      <c r="E633" s="35"/>
    </row>
    <row r="634">
      <c r="A634" s="83"/>
      <c r="B634" s="35"/>
      <c r="E634" s="35"/>
    </row>
    <row r="635">
      <c r="A635" s="83"/>
      <c r="B635" s="35"/>
      <c r="E635" s="35"/>
    </row>
    <row r="636">
      <c r="A636" s="83"/>
      <c r="B636" s="35"/>
      <c r="E636" s="35"/>
    </row>
    <row r="637">
      <c r="A637" s="83"/>
      <c r="B637" s="35"/>
      <c r="E637" s="35"/>
    </row>
    <row r="638">
      <c r="A638" s="83"/>
      <c r="B638" s="35"/>
      <c r="E638" s="35"/>
    </row>
    <row r="639">
      <c r="A639" s="83"/>
      <c r="B639" s="35"/>
      <c r="E639" s="35"/>
    </row>
    <row r="640">
      <c r="A640" s="83"/>
      <c r="B640" s="35"/>
      <c r="E640" s="35"/>
    </row>
    <row r="641">
      <c r="A641" s="83"/>
      <c r="B641" s="35"/>
      <c r="E641" s="35"/>
    </row>
    <row r="642">
      <c r="A642" s="83"/>
      <c r="B642" s="35"/>
      <c r="E642" s="35"/>
    </row>
    <row r="643">
      <c r="A643" s="83"/>
      <c r="B643" s="35"/>
      <c r="E643" s="35"/>
    </row>
    <row r="644">
      <c r="A644" s="83"/>
      <c r="B644" s="35"/>
      <c r="E644" s="35"/>
    </row>
    <row r="645">
      <c r="A645" s="83"/>
      <c r="B645" s="35"/>
      <c r="E645" s="35"/>
    </row>
    <row r="646">
      <c r="A646" s="83"/>
      <c r="B646" s="35"/>
      <c r="E646" s="35"/>
    </row>
    <row r="647">
      <c r="A647" s="83"/>
      <c r="B647" s="35"/>
      <c r="E647" s="35"/>
    </row>
    <row r="648">
      <c r="A648" s="83"/>
      <c r="B648" s="35"/>
      <c r="E648" s="35"/>
    </row>
    <row r="649">
      <c r="A649" s="83"/>
      <c r="B649" s="35"/>
      <c r="E649" s="35"/>
    </row>
    <row r="650">
      <c r="A650" s="83"/>
      <c r="B650" s="35"/>
      <c r="E650" s="35"/>
    </row>
    <row r="651">
      <c r="A651" s="83"/>
      <c r="B651" s="35"/>
      <c r="E651" s="35"/>
    </row>
    <row r="652">
      <c r="A652" s="83"/>
      <c r="B652" s="35"/>
      <c r="E652" s="35"/>
    </row>
    <row r="653">
      <c r="A653" s="83"/>
      <c r="B653" s="35"/>
      <c r="E653" s="35"/>
    </row>
    <row r="654">
      <c r="A654" s="83"/>
      <c r="B654" s="35"/>
      <c r="E654" s="35"/>
    </row>
    <row r="655">
      <c r="A655" s="83"/>
      <c r="B655" s="35"/>
      <c r="E655" s="35"/>
    </row>
    <row r="656">
      <c r="A656" s="83"/>
      <c r="B656" s="35"/>
      <c r="E656" s="35"/>
    </row>
    <row r="657">
      <c r="A657" s="83"/>
      <c r="B657" s="35"/>
      <c r="E657" s="35"/>
    </row>
    <row r="658">
      <c r="A658" s="83"/>
      <c r="B658" s="35"/>
      <c r="E658" s="35"/>
    </row>
    <row r="659">
      <c r="A659" s="83"/>
      <c r="B659" s="35"/>
      <c r="E659" s="35"/>
    </row>
    <row r="660">
      <c r="A660" s="83"/>
      <c r="B660" s="35"/>
      <c r="E660" s="35"/>
    </row>
    <row r="661">
      <c r="A661" s="83"/>
      <c r="B661" s="35"/>
      <c r="E661" s="35"/>
    </row>
    <row r="662">
      <c r="A662" s="83"/>
      <c r="B662" s="35"/>
      <c r="E662" s="35"/>
    </row>
    <row r="663">
      <c r="A663" s="83"/>
      <c r="B663" s="35"/>
      <c r="E663" s="35"/>
    </row>
    <row r="664">
      <c r="A664" s="83"/>
      <c r="B664" s="35"/>
      <c r="E664" s="35"/>
    </row>
    <row r="665">
      <c r="A665" s="83"/>
      <c r="B665" s="35"/>
      <c r="E665" s="35"/>
    </row>
    <row r="666">
      <c r="A666" s="83"/>
      <c r="B666" s="35"/>
      <c r="E666" s="35"/>
    </row>
    <row r="667">
      <c r="A667" s="83"/>
      <c r="B667" s="35"/>
      <c r="E667" s="35"/>
    </row>
    <row r="668">
      <c r="A668" s="83"/>
      <c r="B668" s="35"/>
      <c r="E668" s="35"/>
    </row>
    <row r="669">
      <c r="A669" s="83"/>
      <c r="B669" s="35"/>
      <c r="E669" s="35"/>
    </row>
    <row r="670">
      <c r="A670" s="83"/>
      <c r="B670" s="35"/>
      <c r="E670" s="35"/>
    </row>
    <row r="671">
      <c r="A671" s="83"/>
      <c r="B671" s="35"/>
      <c r="E671" s="35"/>
    </row>
    <row r="672">
      <c r="A672" s="83"/>
      <c r="B672" s="35"/>
      <c r="E672" s="35"/>
    </row>
    <row r="673">
      <c r="A673" s="83"/>
      <c r="B673" s="35"/>
      <c r="E673" s="35"/>
    </row>
    <row r="674">
      <c r="A674" s="83"/>
      <c r="B674" s="35"/>
      <c r="E674" s="35"/>
    </row>
    <row r="675">
      <c r="A675" s="83"/>
      <c r="B675" s="35"/>
      <c r="E675" s="35"/>
    </row>
    <row r="676">
      <c r="A676" s="83"/>
      <c r="B676" s="35"/>
      <c r="E676" s="35"/>
    </row>
    <row r="677">
      <c r="A677" s="83"/>
      <c r="B677" s="35"/>
      <c r="E677" s="35"/>
    </row>
    <row r="678">
      <c r="A678" s="83"/>
      <c r="B678" s="35"/>
      <c r="E678" s="35"/>
    </row>
    <row r="679">
      <c r="A679" s="83"/>
      <c r="B679" s="35"/>
      <c r="E679" s="35"/>
    </row>
    <row r="680">
      <c r="A680" s="83"/>
      <c r="B680" s="35"/>
      <c r="E680" s="35"/>
    </row>
    <row r="681">
      <c r="A681" s="83"/>
      <c r="B681" s="35"/>
      <c r="E681" s="35"/>
    </row>
    <row r="682">
      <c r="A682" s="83"/>
      <c r="B682" s="35"/>
      <c r="E682" s="35"/>
    </row>
    <row r="683">
      <c r="A683" s="83"/>
      <c r="B683" s="35"/>
      <c r="E683" s="35"/>
    </row>
    <row r="684">
      <c r="A684" s="83"/>
      <c r="B684" s="35"/>
      <c r="E684" s="35"/>
    </row>
    <row r="685">
      <c r="A685" s="83"/>
      <c r="B685" s="35"/>
      <c r="E685" s="35"/>
    </row>
    <row r="686">
      <c r="A686" s="83"/>
      <c r="B686" s="35"/>
      <c r="E686" s="35"/>
    </row>
    <row r="687">
      <c r="A687" s="83"/>
      <c r="B687" s="35"/>
      <c r="E687" s="35"/>
    </row>
    <row r="688">
      <c r="A688" s="83"/>
      <c r="B688" s="35"/>
      <c r="E688" s="35"/>
    </row>
    <row r="689">
      <c r="A689" s="83"/>
      <c r="B689" s="35"/>
      <c r="E689" s="35"/>
    </row>
    <row r="690">
      <c r="A690" s="83"/>
      <c r="B690" s="35"/>
      <c r="E690" s="35"/>
    </row>
    <row r="691">
      <c r="A691" s="83"/>
      <c r="B691" s="35"/>
      <c r="E691" s="35"/>
    </row>
    <row r="692">
      <c r="A692" s="83"/>
      <c r="B692" s="35"/>
      <c r="E692" s="35"/>
    </row>
    <row r="693">
      <c r="A693" s="83"/>
      <c r="B693" s="35"/>
      <c r="E693" s="35"/>
    </row>
    <row r="694">
      <c r="A694" s="83"/>
      <c r="B694" s="35"/>
      <c r="E694" s="35"/>
    </row>
    <row r="695">
      <c r="A695" s="83"/>
      <c r="B695" s="35"/>
      <c r="E695" s="35"/>
    </row>
    <row r="696">
      <c r="A696" s="83"/>
      <c r="B696" s="35"/>
      <c r="E696" s="35"/>
    </row>
    <row r="697">
      <c r="A697" s="83"/>
      <c r="B697" s="35"/>
      <c r="E697" s="35"/>
    </row>
    <row r="698">
      <c r="A698" s="83"/>
      <c r="B698" s="35"/>
      <c r="E698" s="35"/>
    </row>
    <row r="699">
      <c r="A699" s="83"/>
      <c r="B699" s="35"/>
      <c r="E699" s="35"/>
    </row>
    <row r="700">
      <c r="A700" s="83"/>
      <c r="B700" s="35"/>
      <c r="E700" s="35"/>
    </row>
    <row r="701">
      <c r="A701" s="83"/>
      <c r="B701" s="35"/>
      <c r="E701" s="35"/>
    </row>
    <row r="702">
      <c r="A702" s="83"/>
      <c r="B702" s="35"/>
      <c r="E702" s="35"/>
    </row>
    <row r="703">
      <c r="A703" s="83"/>
      <c r="B703" s="35"/>
      <c r="E703" s="35"/>
    </row>
    <row r="704">
      <c r="A704" s="83"/>
      <c r="B704" s="35"/>
      <c r="E704" s="35"/>
    </row>
    <row r="705">
      <c r="A705" s="83"/>
      <c r="B705" s="35"/>
      <c r="E705" s="35"/>
    </row>
    <row r="706">
      <c r="A706" s="83"/>
      <c r="B706" s="35"/>
      <c r="E706" s="35"/>
    </row>
    <row r="707">
      <c r="A707" s="83"/>
      <c r="B707" s="35"/>
      <c r="E707" s="35"/>
    </row>
    <row r="708">
      <c r="A708" s="83"/>
      <c r="B708" s="35"/>
      <c r="E708" s="35"/>
    </row>
    <row r="709">
      <c r="A709" s="83"/>
      <c r="B709" s="35"/>
      <c r="E709" s="35"/>
    </row>
    <row r="710">
      <c r="A710" s="83"/>
      <c r="B710" s="35"/>
      <c r="E710" s="35"/>
    </row>
    <row r="711">
      <c r="A711" s="83"/>
      <c r="B711" s="35"/>
      <c r="E711" s="35"/>
    </row>
    <row r="712">
      <c r="A712" s="83"/>
      <c r="B712" s="35"/>
      <c r="E712" s="35"/>
    </row>
    <row r="713">
      <c r="A713" s="83"/>
      <c r="B713" s="35"/>
      <c r="E713" s="35"/>
    </row>
    <row r="714">
      <c r="A714" s="83"/>
      <c r="B714" s="35"/>
      <c r="E714" s="35"/>
    </row>
    <row r="715">
      <c r="A715" s="83"/>
      <c r="B715" s="35"/>
      <c r="E715" s="35"/>
    </row>
    <row r="716">
      <c r="A716" s="83"/>
      <c r="B716" s="35"/>
      <c r="E716" s="35"/>
    </row>
    <row r="717">
      <c r="A717" s="83"/>
      <c r="B717" s="35"/>
      <c r="E717" s="35"/>
    </row>
    <row r="718">
      <c r="A718" s="83"/>
      <c r="B718" s="35"/>
      <c r="E718" s="35"/>
    </row>
    <row r="719">
      <c r="A719" s="83"/>
      <c r="B719" s="35"/>
      <c r="E719" s="35"/>
    </row>
    <row r="720">
      <c r="A720" s="83"/>
      <c r="B720" s="35"/>
      <c r="E720" s="35"/>
    </row>
    <row r="721">
      <c r="A721" s="83"/>
      <c r="B721" s="35"/>
      <c r="E721" s="35"/>
    </row>
    <row r="722">
      <c r="A722" s="83"/>
      <c r="B722" s="35"/>
      <c r="E722" s="35"/>
    </row>
    <row r="723">
      <c r="A723" s="83"/>
      <c r="B723" s="35"/>
      <c r="E723" s="35"/>
    </row>
    <row r="724">
      <c r="A724" s="83"/>
      <c r="B724" s="35"/>
      <c r="E724" s="35"/>
    </row>
    <row r="725">
      <c r="A725" s="83"/>
      <c r="B725" s="35"/>
      <c r="E725" s="35"/>
    </row>
    <row r="726">
      <c r="A726" s="83"/>
      <c r="B726" s="35"/>
      <c r="E726" s="35"/>
    </row>
    <row r="727">
      <c r="A727" s="83"/>
      <c r="B727" s="35"/>
      <c r="E727" s="35"/>
    </row>
    <row r="728">
      <c r="A728" s="83"/>
      <c r="B728" s="35"/>
      <c r="E728" s="35"/>
    </row>
    <row r="729">
      <c r="A729" s="83"/>
      <c r="B729" s="35"/>
      <c r="E729" s="35"/>
    </row>
    <row r="730">
      <c r="A730" s="83"/>
      <c r="B730" s="35"/>
      <c r="E730" s="35"/>
    </row>
    <row r="731">
      <c r="A731" s="83"/>
      <c r="B731" s="35"/>
      <c r="E731" s="35"/>
    </row>
    <row r="732">
      <c r="A732" s="83"/>
      <c r="B732" s="35"/>
      <c r="E732" s="35"/>
    </row>
    <row r="733">
      <c r="A733" s="83"/>
      <c r="B733" s="35"/>
      <c r="E733" s="35"/>
    </row>
    <row r="734">
      <c r="A734" s="83"/>
      <c r="B734" s="35"/>
      <c r="E734" s="35"/>
    </row>
    <row r="735">
      <c r="A735" s="83"/>
      <c r="B735" s="35"/>
      <c r="E735" s="35"/>
    </row>
    <row r="736">
      <c r="A736" s="83"/>
      <c r="B736" s="35"/>
      <c r="E736" s="35"/>
    </row>
    <row r="737">
      <c r="A737" s="83"/>
      <c r="B737" s="35"/>
      <c r="E737" s="35"/>
    </row>
    <row r="738">
      <c r="A738" s="83"/>
      <c r="B738" s="35"/>
      <c r="E738" s="35"/>
    </row>
    <row r="739">
      <c r="A739" s="83"/>
      <c r="B739" s="35"/>
      <c r="E739" s="35"/>
    </row>
    <row r="740">
      <c r="A740" s="83"/>
      <c r="B740" s="35"/>
      <c r="E740" s="35"/>
    </row>
    <row r="741">
      <c r="A741" s="83"/>
      <c r="B741" s="35"/>
      <c r="E741" s="35"/>
    </row>
    <row r="742">
      <c r="A742" s="83"/>
      <c r="B742" s="35"/>
      <c r="E742" s="35"/>
    </row>
    <row r="743">
      <c r="A743" s="83"/>
      <c r="B743" s="35"/>
      <c r="E743" s="35"/>
    </row>
    <row r="744">
      <c r="A744" s="83"/>
      <c r="B744" s="35"/>
      <c r="E744" s="35"/>
    </row>
    <row r="745">
      <c r="A745" s="83"/>
      <c r="B745" s="35"/>
      <c r="E745" s="35"/>
    </row>
    <row r="746">
      <c r="A746" s="83"/>
      <c r="B746" s="35"/>
      <c r="E746" s="35"/>
    </row>
    <row r="747">
      <c r="A747" s="83"/>
      <c r="B747" s="35"/>
      <c r="E747" s="35"/>
    </row>
    <row r="748">
      <c r="A748" s="83"/>
      <c r="B748" s="35"/>
      <c r="E748" s="35"/>
    </row>
    <row r="749">
      <c r="A749" s="83"/>
      <c r="B749" s="35"/>
      <c r="E749" s="35"/>
    </row>
    <row r="750">
      <c r="A750" s="83"/>
      <c r="B750" s="35"/>
      <c r="E750" s="35"/>
    </row>
    <row r="751">
      <c r="A751" s="83"/>
      <c r="B751" s="35"/>
      <c r="E751" s="35"/>
    </row>
    <row r="752">
      <c r="A752" s="83"/>
      <c r="B752" s="35"/>
      <c r="E752" s="35"/>
    </row>
    <row r="753">
      <c r="A753" s="83"/>
      <c r="B753" s="35"/>
      <c r="E753" s="35"/>
    </row>
    <row r="754">
      <c r="A754" s="83"/>
      <c r="B754" s="35"/>
      <c r="E754" s="35"/>
    </row>
    <row r="755">
      <c r="A755" s="83"/>
      <c r="B755" s="35"/>
      <c r="E755" s="35"/>
    </row>
    <row r="756">
      <c r="A756" s="83"/>
      <c r="B756" s="35"/>
      <c r="E756" s="35"/>
    </row>
    <row r="757">
      <c r="A757" s="83"/>
      <c r="B757" s="35"/>
      <c r="E757" s="35"/>
    </row>
    <row r="758">
      <c r="A758" s="83"/>
      <c r="B758" s="35"/>
      <c r="E758" s="35"/>
    </row>
    <row r="759">
      <c r="A759" s="83"/>
      <c r="B759" s="35"/>
      <c r="E759" s="35"/>
    </row>
    <row r="760">
      <c r="A760" s="83"/>
      <c r="B760" s="35"/>
      <c r="E760" s="35"/>
    </row>
    <row r="761">
      <c r="A761" s="83"/>
      <c r="B761" s="35"/>
      <c r="E761" s="35"/>
    </row>
    <row r="762">
      <c r="A762" s="83"/>
      <c r="B762" s="35"/>
      <c r="E762" s="35"/>
    </row>
    <row r="763">
      <c r="A763" s="83"/>
      <c r="B763" s="35"/>
      <c r="E763" s="35"/>
    </row>
    <row r="764">
      <c r="A764" s="83"/>
      <c r="B764" s="35"/>
      <c r="E764" s="35"/>
    </row>
    <row r="765">
      <c r="A765" s="83"/>
      <c r="B765" s="35"/>
      <c r="E765" s="35"/>
    </row>
    <row r="766">
      <c r="A766" s="83"/>
      <c r="B766" s="35"/>
      <c r="E766" s="35"/>
    </row>
    <row r="767">
      <c r="A767" s="83"/>
      <c r="B767" s="35"/>
      <c r="E767" s="35"/>
    </row>
    <row r="768">
      <c r="A768" s="83"/>
      <c r="B768" s="35"/>
      <c r="E768" s="35"/>
    </row>
    <row r="769">
      <c r="A769" s="83"/>
      <c r="B769" s="35"/>
      <c r="E769" s="35"/>
    </row>
    <row r="770">
      <c r="A770" s="83"/>
      <c r="B770" s="35"/>
      <c r="E770" s="35"/>
    </row>
    <row r="771">
      <c r="A771" s="83"/>
      <c r="B771" s="35"/>
      <c r="E771" s="35"/>
    </row>
    <row r="772">
      <c r="A772" s="83"/>
      <c r="B772" s="35"/>
      <c r="E772" s="35"/>
    </row>
    <row r="773">
      <c r="A773" s="83"/>
      <c r="B773" s="35"/>
      <c r="E773" s="35"/>
    </row>
    <row r="774">
      <c r="A774" s="83"/>
      <c r="B774" s="35"/>
      <c r="E774" s="35"/>
    </row>
    <row r="775">
      <c r="A775" s="83"/>
      <c r="B775" s="35"/>
      <c r="E775" s="35"/>
    </row>
    <row r="776">
      <c r="A776" s="83"/>
      <c r="B776" s="35"/>
      <c r="E776" s="35"/>
    </row>
    <row r="777">
      <c r="A777" s="83"/>
      <c r="B777" s="35"/>
      <c r="E777" s="35"/>
    </row>
    <row r="778">
      <c r="A778" s="83"/>
      <c r="B778" s="35"/>
      <c r="E778" s="35"/>
    </row>
    <row r="779">
      <c r="A779" s="83"/>
      <c r="B779" s="35"/>
      <c r="E779" s="35"/>
    </row>
    <row r="780">
      <c r="A780" s="83"/>
      <c r="B780" s="35"/>
      <c r="E780" s="35"/>
    </row>
    <row r="781">
      <c r="A781" s="83"/>
      <c r="B781" s="35"/>
      <c r="E781" s="35"/>
    </row>
    <row r="782">
      <c r="A782" s="83"/>
      <c r="B782" s="35"/>
      <c r="E782" s="35"/>
    </row>
    <row r="783">
      <c r="A783" s="83"/>
      <c r="B783" s="35"/>
      <c r="E783" s="35"/>
    </row>
    <row r="784">
      <c r="A784" s="83"/>
      <c r="B784" s="35"/>
      <c r="E784" s="35"/>
    </row>
    <row r="785">
      <c r="A785" s="83"/>
      <c r="B785" s="35"/>
      <c r="E785" s="35"/>
    </row>
    <row r="786">
      <c r="A786" s="83"/>
      <c r="B786" s="35"/>
      <c r="E786" s="35"/>
    </row>
    <row r="787">
      <c r="A787" s="83"/>
      <c r="B787" s="35"/>
      <c r="E787" s="35"/>
    </row>
    <row r="788">
      <c r="A788" s="83"/>
      <c r="B788" s="35"/>
      <c r="E788" s="35"/>
    </row>
    <row r="789">
      <c r="A789" s="83"/>
      <c r="B789" s="35"/>
      <c r="E789" s="35"/>
    </row>
    <row r="790">
      <c r="A790" s="83"/>
      <c r="B790" s="35"/>
      <c r="E790" s="35"/>
    </row>
    <row r="791">
      <c r="A791" s="83"/>
      <c r="B791" s="35"/>
      <c r="E791" s="35"/>
    </row>
    <row r="792">
      <c r="A792" s="83"/>
      <c r="B792" s="35"/>
      <c r="E792" s="35"/>
    </row>
    <row r="793">
      <c r="A793" s="83"/>
      <c r="B793" s="35"/>
      <c r="E793" s="35"/>
    </row>
    <row r="794">
      <c r="A794" s="83"/>
      <c r="B794" s="35"/>
      <c r="E794" s="35"/>
    </row>
    <row r="795">
      <c r="A795" s="83"/>
      <c r="B795" s="35"/>
      <c r="E795" s="35"/>
    </row>
    <row r="796">
      <c r="A796" s="83"/>
      <c r="B796" s="35"/>
      <c r="E796" s="35"/>
    </row>
    <row r="797">
      <c r="A797" s="83"/>
      <c r="B797" s="35"/>
      <c r="E797" s="35"/>
    </row>
    <row r="798">
      <c r="A798" s="83"/>
      <c r="B798" s="35"/>
      <c r="E798" s="35"/>
    </row>
    <row r="799">
      <c r="A799" s="83"/>
      <c r="B799" s="35"/>
      <c r="E799" s="35"/>
    </row>
    <row r="800">
      <c r="A800" s="83"/>
      <c r="B800" s="35"/>
      <c r="E800" s="35"/>
    </row>
    <row r="801">
      <c r="A801" s="83"/>
      <c r="B801" s="35"/>
      <c r="E801" s="35"/>
    </row>
    <row r="802">
      <c r="A802" s="83"/>
      <c r="B802" s="35"/>
      <c r="E802" s="35"/>
    </row>
    <row r="803">
      <c r="A803" s="83"/>
      <c r="B803" s="35"/>
      <c r="E803" s="35"/>
    </row>
    <row r="804">
      <c r="A804" s="83"/>
      <c r="B804" s="35"/>
      <c r="E804" s="35"/>
    </row>
    <row r="805">
      <c r="A805" s="83"/>
      <c r="B805" s="35"/>
      <c r="E805" s="35"/>
    </row>
    <row r="806">
      <c r="A806" s="83"/>
      <c r="B806" s="35"/>
      <c r="E806" s="35"/>
    </row>
    <row r="807">
      <c r="A807" s="83"/>
      <c r="B807" s="35"/>
      <c r="E807" s="35"/>
    </row>
    <row r="808">
      <c r="A808" s="83"/>
      <c r="B808" s="35"/>
      <c r="E808" s="35"/>
    </row>
    <row r="809">
      <c r="A809" s="83"/>
      <c r="B809" s="35"/>
      <c r="E809" s="35"/>
    </row>
    <row r="810">
      <c r="A810" s="83"/>
      <c r="B810" s="35"/>
      <c r="E810" s="35"/>
    </row>
    <row r="811">
      <c r="A811" s="83"/>
      <c r="B811" s="35"/>
      <c r="E811" s="35"/>
    </row>
    <row r="812">
      <c r="A812" s="83"/>
      <c r="B812" s="35"/>
      <c r="E812" s="35"/>
    </row>
    <row r="813">
      <c r="A813" s="83"/>
      <c r="B813" s="35"/>
      <c r="E813" s="35"/>
    </row>
    <row r="814">
      <c r="A814" s="83"/>
      <c r="B814" s="35"/>
      <c r="E814" s="35"/>
    </row>
    <row r="815">
      <c r="A815" s="83"/>
      <c r="B815" s="35"/>
      <c r="E815" s="35"/>
    </row>
    <row r="816">
      <c r="A816" s="83"/>
      <c r="B816" s="35"/>
      <c r="E816" s="35"/>
    </row>
    <row r="817">
      <c r="A817" s="83"/>
      <c r="B817" s="35"/>
      <c r="E817" s="35"/>
    </row>
    <row r="818">
      <c r="A818" s="83"/>
      <c r="B818" s="35"/>
      <c r="E818" s="35"/>
    </row>
    <row r="819">
      <c r="A819" s="83"/>
      <c r="B819" s="35"/>
      <c r="E819" s="35"/>
    </row>
    <row r="820">
      <c r="A820" s="83"/>
      <c r="B820" s="35"/>
      <c r="E820" s="35"/>
    </row>
    <row r="821">
      <c r="A821" s="83"/>
      <c r="B821" s="35"/>
      <c r="E821" s="35"/>
    </row>
    <row r="822">
      <c r="A822" s="83"/>
      <c r="B822" s="35"/>
      <c r="E822" s="35"/>
    </row>
    <row r="823">
      <c r="A823" s="83"/>
      <c r="B823" s="35"/>
      <c r="E823" s="35"/>
    </row>
    <row r="824">
      <c r="A824" s="83"/>
      <c r="B824" s="35"/>
      <c r="E824" s="35"/>
    </row>
    <row r="825">
      <c r="A825" s="83"/>
      <c r="B825" s="35"/>
      <c r="E825" s="35"/>
    </row>
    <row r="826">
      <c r="A826" s="83"/>
      <c r="B826" s="35"/>
      <c r="E826" s="35"/>
    </row>
    <row r="827">
      <c r="A827" s="83"/>
      <c r="B827" s="35"/>
      <c r="E827" s="35"/>
    </row>
    <row r="828">
      <c r="A828" s="83"/>
      <c r="B828" s="35"/>
      <c r="E828" s="35"/>
    </row>
    <row r="829">
      <c r="A829" s="83"/>
      <c r="B829" s="35"/>
      <c r="E829" s="35"/>
    </row>
    <row r="830">
      <c r="A830" s="83"/>
      <c r="B830" s="35"/>
      <c r="E830" s="35"/>
    </row>
    <row r="831">
      <c r="A831" s="83"/>
      <c r="B831" s="35"/>
      <c r="E831" s="35"/>
    </row>
    <row r="832">
      <c r="A832" s="83"/>
      <c r="B832" s="35"/>
      <c r="E832" s="35"/>
    </row>
    <row r="833">
      <c r="A833" s="83"/>
      <c r="B833" s="35"/>
      <c r="E833" s="35"/>
    </row>
    <row r="834">
      <c r="A834" s="83"/>
      <c r="B834" s="35"/>
      <c r="E834" s="35"/>
    </row>
    <row r="835">
      <c r="A835" s="83"/>
      <c r="B835" s="35"/>
      <c r="E835" s="35"/>
    </row>
    <row r="836">
      <c r="A836" s="83"/>
      <c r="B836" s="35"/>
      <c r="E836" s="35"/>
    </row>
    <row r="837">
      <c r="A837" s="83"/>
      <c r="B837" s="35"/>
      <c r="E837" s="35"/>
    </row>
    <row r="838">
      <c r="A838" s="83"/>
      <c r="B838" s="35"/>
      <c r="E838" s="35"/>
    </row>
    <row r="839">
      <c r="A839" s="83"/>
      <c r="B839" s="35"/>
      <c r="E839" s="35"/>
    </row>
    <row r="840">
      <c r="A840" s="83"/>
      <c r="B840" s="35"/>
      <c r="E840" s="35"/>
    </row>
    <row r="841">
      <c r="A841" s="83"/>
      <c r="B841" s="35"/>
      <c r="E841" s="35"/>
    </row>
    <row r="842">
      <c r="A842" s="83"/>
      <c r="B842" s="35"/>
      <c r="E842" s="35"/>
    </row>
    <row r="843">
      <c r="A843" s="83"/>
      <c r="B843" s="35"/>
      <c r="E843" s="35"/>
    </row>
    <row r="844">
      <c r="A844" s="83"/>
      <c r="B844" s="35"/>
      <c r="E844" s="35"/>
    </row>
    <row r="845">
      <c r="A845" s="83"/>
      <c r="B845" s="35"/>
      <c r="E845" s="35"/>
    </row>
    <row r="846">
      <c r="A846" s="83"/>
      <c r="B846" s="35"/>
      <c r="E846" s="35"/>
    </row>
    <row r="847">
      <c r="A847" s="83"/>
      <c r="B847" s="35"/>
      <c r="E847" s="35"/>
    </row>
    <row r="848">
      <c r="A848" s="83"/>
      <c r="B848" s="35"/>
      <c r="E848" s="35"/>
    </row>
    <row r="849">
      <c r="A849" s="83"/>
      <c r="B849" s="35"/>
      <c r="E849" s="35"/>
    </row>
    <row r="850">
      <c r="A850" s="83"/>
      <c r="B850" s="35"/>
      <c r="E850" s="35"/>
    </row>
    <row r="851">
      <c r="A851" s="83"/>
      <c r="B851" s="35"/>
      <c r="E851" s="35"/>
    </row>
    <row r="852">
      <c r="A852" s="83"/>
      <c r="B852" s="35"/>
      <c r="E852" s="35"/>
    </row>
    <row r="853">
      <c r="A853" s="83"/>
      <c r="B853" s="35"/>
      <c r="E853" s="35"/>
    </row>
    <row r="854">
      <c r="A854" s="83"/>
      <c r="B854" s="35"/>
      <c r="E854" s="35"/>
    </row>
    <row r="855">
      <c r="A855" s="83"/>
      <c r="B855" s="35"/>
      <c r="E855" s="35"/>
    </row>
    <row r="856">
      <c r="A856" s="83"/>
      <c r="B856" s="35"/>
      <c r="E856" s="35"/>
    </row>
    <row r="857">
      <c r="A857" s="83"/>
      <c r="B857" s="35"/>
      <c r="E857" s="35"/>
    </row>
    <row r="858">
      <c r="A858" s="83"/>
      <c r="B858" s="35"/>
      <c r="E858" s="35"/>
    </row>
    <row r="859">
      <c r="A859" s="83"/>
      <c r="B859" s="35"/>
      <c r="E859" s="35"/>
    </row>
    <row r="860">
      <c r="A860" s="83"/>
      <c r="B860" s="35"/>
      <c r="E860" s="35"/>
    </row>
    <row r="861">
      <c r="A861" s="83"/>
      <c r="B861" s="35"/>
      <c r="E861" s="35"/>
    </row>
    <row r="862">
      <c r="A862" s="83"/>
      <c r="B862" s="35"/>
      <c r="E862" s="35"/>
    </row>
    <row r="863">
      <c r="A863" s="83"/>
      <c r="B863" s="35"/>
      <c r="E863" s="35"/>
    </row>
    <row r="864">
      <c r="A864" s="83"/>
      <c r="B864" s="35"/>
      <c r="E864" s="35"/>
    </row>
    <row r="865">
      <c r="A865" s="83"/>
      <c r="B865" s="35"/>
      <c r="E865" s="35"/>
    </row>
    <row r="866">
      <c r="A866" s="83"/>
      <c r="B866" s="35"/>
      <c r="E866" s="35"/>
    </row>
    <row r="867">
      <c r="A867" s="83"/>
      <c r="B867" s="35"/>
      <c r="E867" s="35"/>
    </row>
    <row r="868">
      <c r="A868" s="83"/>
      <c r="B868" s="35"/>
      <c r="E868" s="35"/>
    </row>
    <row r="869">
      <c r="A869" s="83"/>
      <c r="B869" s="35"/>
      <c r="E869" s="35"/>
    </row>
    <row r="870">
      <c r="A870" s="83"/>
      <c r="B870" s="35"/>
      <c r="E870" s="35"/>
    </row>
    <row r="871">
      <c r="A871" s="83"/>
      <c r="B871" s="35"/>
      <c r="E871" s="35"/>
    </row>
    <row r="872">
      <c r="A872" s="83"/>
      <c r="B872" s="35"/>
      <c r="E872" s="35"/>
    </row>
    <row r="873">
      <c r="A873" s="83"/>
      <c r="B873" s="35"/>
      <c r="E873" s="35"/>
    </row>
    <row r="874">
      <c r="A874" s="83"/>
      <c r="B874" s="35"/>
      <c r="E874" s="35"/>
    </row>
    <row r="875">
      <c r="A875" s="83"/>
      <c r="B875" s="35"/>
      <c r="E875" s="35"/>
    </row>
    <row r="876">
      <c r="A876" s="83"/>
      <c r="B876" s="35"/>
      <c r="E876" s="35"/>
    </row>
    <row r="877">
      <c r="A877" s="83"/>
      <c r="B877" s="35"/>
      <c r="E877" s="35"/>
    </row>
    <row r="878">
      <c r="A878" s="83"/>
      <c r="B878" s="35"/>
      <c r="E878" s="35"/>
    </row>
    <row r="879">
      <c r="A879" s="83"/>
      <c r="B879" s="35"/>
      <c r="E879" s="35"/>
    </row>
    <row r="880">
      <c r="A880" s="83"/>
      <c r="B880" s="35"/>
      <c r="E880" s="35"/>
    </row>
    <row r="881">
      <c r="A881" s="83"/>
      <c r="B881" s="35"/>
      <c r="E881" s="35"/>
    </row>
    <row r="882">
      <c r="A882" s="83"/>
      <c r="B882" s="35"/>
      <c r="E882" s="35"/>
    </row>
    <row r="883">
      <c r="A883" s="83"/>
      <c r="B883" s="35"/>
      <c r="E883" s="35"/>
    </row>
    <row r="884">
      <c r="A884" s="83"/>
      <c r="B884" s="35"/>
      <c r="E884" s="35"/>
    </row>
    <row r="885">
      <c r="A885" s="83"/>
      <c r="B885" s="35"/>
      <c r="E885" s="35"/>
    </row>
    <row r="886">
      <c r="A886" s="83"/>
      <c r="B886" s="35"/>
      <c r="E886" s="35"/>
    </row>
    <row r="887">
      <c r="A887" s="83"/>
      <c r="B887" s="35"/>
      <c r="E887" s="35"/>
    </row>
    <row r="888">
      <c r="A888" s="83"/>
      <c r="B888" s="35"/>
      <c r="E888" s="35"/>
    </row>
    <row r="889">
      <c r="A889" s="83"/>
      <c r="B889" s="35"/>
      <c r="E889" s="35"/>
    </row>
    <row r="890">
      <c r="A890" s="83"/>
      <c r="B890" s="35"/>
      <c r="E890" s="35"/>
    </row>
    <row r="891">
      <c r="A891" s="83"/>
      <c r="B891" s="35"/>
      <c r="E891" s="35"/>
    </row>
    <row r="892">
      <c r="A892" s="83"/>
      <c r="B892" s="35"/>
      <c r="E892" s="35"/>
    </row>
    <row r="893">
      <c r="A893" s="83"/>
      <c r="B893" s="35"/>
      <c r="E893" s="35"/>
    </row>
    <row r="894">
      <c r="A894" s="83"/>
      <c r="B894" s="35"/>
      <c r="E894" s="35"/>
    </row>
    <row r="895">
      <c r="A895" s="83"/>
      <c r="B895" s="35"/>
      <c r="E895" s="35"/>
    </row>
    <row r="896">
      <c r="A896" s="83"/>
      <c r="B896" s="35"/>
      <c r="E896" s="35"/>
    </row>
    <row r="897">
      <c r="A897" s="83"/>
      <c r="B897" s="35"/>
      <c r="E897" s="35"/>
    </row>
    <row r="898">
      <c r="A898" s="83"/>
      <c r="B898" s="35"/>
      <c r="E898" s="35"/>
    </row>
    <row r="899">
      <c r="A899" s="83"/>
      <c r="B899" s="35"/>
      <c r="E899" s="35"/>
    </row>
    <row r="900">
      <c r="A900" s="83"/>
      <c r="B900" s="35"/>
      <c r="E900" s="35"/>
    </row>
    <row r="901">
      <c r="A901" s="83"/>
      <c r="B901" s="35"/>
      <c r="E901" s="35"/>
    </row>
    <row r="902">
      <c r="A902" s="83"/>
      <c r="B902" s="35"/>
      <c r="E902" s="35"/>
    </row>
    <row r="903">
      <c r="A903" s="83"/>
      <c r="B903" s="35"/>
      <c r="E903" s="35"/>
    </row>
    <row r="904">
      <c r="A904" s="83"/>
      <c r="B904" s="35"/>
      <c r="E904" s="35"/>
    </row>
    <row r="905">
      <c r="A905" s="83"/>
      <c r="B905" s="35"/>
      <c r="E905" s="35"/>
    </row>
    <row r="906">
      <c r="A906" s="83"/>
      <c r="B906" s="35"/>
      <c r="E906" s="35"/>
    </row>
    <row r="907">
      <c r="A907" s="83"/>
      <c r="B907" s="35"/>
      <c r="E907" s="35"/>
    </row>
    <row r="908">
      <c r="A908" s="83"/>
      <c r="B908" s="35"/>
      <c r="E908" s="35"/>
    </row>
    <row r="909">
      <c r="A909" s="83"/>
      <c r="B909" s="35"/>
      <c r="E909" s="35"/>
    </row>
    <row r="910">
      <c r="A910" s="83"/>
      <c r="B910" s="35"/>
      <c r="E910" s="35"/>
    </row>
    <row r="911">
      <c r="A911" s="83"/>
      <c r="B911" s="35"/>
      <c r="E911" s="35"/>
    </row>
    <row r="912">
      <c r="A912" s="83"/>
      <c r="B912" s="35"/>
      <c r="E912" s="35"/>
    </row>
    <row r="913">
      <c r="A913" s="83"/>
      <c r="B913" s="35"/>
      <c r="E913" s="35"/>
    </row>
    <row r="914">
      <c r="A914" s="83"/>
      <c r="B914" s="35"/>
      <c r="E914" s="35"/>
    </row>
    <row r="915">
      <c r="A915" s="83"/>
      <c r="B915" s="35"/>
      <c r="E915" s="35"/>
    </row>
    <row r="916">
      <c r="A916" s="83"/>
      <c r="B916" s="35"/>
      <c r="E916" s="35"/>
    </row>
    <row r="917">
      <c r="A917" s="83"/>
      <c r="B917" s="35"/>
      <c r="E917" s="35"/>
    </row>
    <row r="918">
      <c r="A918" s="83"/>
      <c r="B918" s="35"/>
      <c r="E918" s="35"/>
    </row>
    <row r="919">
      <c r="A919" s="83"/>
      <c r="B919" s="35"/>
      <c r="E919" s="35"/>
    </row>
    <row r="920">
      <c r="A920" s="83"/>
      <c r="B920" s="35"/>
      <c r="E920" s="35"/>
    </row>
    <row r="921">
      <c r="A921" s="83"/>
      <c r="B921" s="35"/>
      <c r="E921" s="35"/>
    </row>
    <row r="922">
      <c r="A922" s="83"/>
      <c r="B922" s="35"/>
      <c r="E922" s="35"/>
    </row>
    <row r="923">
      <c r="A923" s="83"/>
      <c r="B923" s="35"/>
      <c r="E923" s="35"/>
    </row>
    <row r="924">
      <c r="A924" s="83"/>
      <c r="B924" s="35"/>
      <c r="E924" s="35"/>
    </row>
    <row r="925">
      <c r="A925" s="83"/>
      <c r="B925" s="35"/>
      <c r="E925" s="35"/>
    </row>
    <row r="926">
      <c r="A926" s="83"/>
      <c r="B926" s="35"/>
      <c r="E926" s="35"/>
    </row>
    <row r="927">
      <c r="A927" s="83"/>
      <c r="B927" s="35"/>
      <c r="E927" s="35"/>
    </row>
    <row r="928">
      <c r="A928" s="83"/>
      <c r="B928" s="35"/>
      <c r="E928" s="35"/>
    </row>
    <row r="929">
      <c r="A929" s="83"/>
      <c r="B929" s="35"/>
      <c r="E929" s="35"/>
    </row>
    <row r="930">
      <c r="A930" s="83"/>
      <c r="B930" s="35"/>
      <c r="E930" s="35"/>
    </row>
    <row r="931">
      <c r="A931" s="83"/>
      <c r="B931" s="35"/>
      <c r="E931" s="35"/>
    </row>
    <row r="932">
      <c r="A932" s="83"/>
      <c r="B932" s="35"/>
      <c r="E932" s="35"/>
    </row>
    <row r="933">
      <c r="A933" s="83"/>
      <c r="B933" s="35"/>
      <c r="E933" s="35"/>
    </row>
    <row r="934">
      <c r="A934" s="83"/>
      <c r="B934" s="35"/>
      <c r="E934" s="35"/>
    </row>
    <row r="935">
      <c r="A935" s="83"/>
      <c r="B935" s="35"/>
      <c r="E935" s="35"/>
    </row>
    <row r="936">
      <c r="A936" s="83"/>
      <c r="B936" s="35"/>
      <c r="E936" s="35"/>
    </row>
    <row r="937">
      <c r="A937" s="83"/>
      <c r="B937" s="35"/>
      <c r="E937" s="35"/>
    </row>
    <row r="938">
      <c r="A938" s="83"/>
      <c r="B938" s="35"/>
      <c r="E938" s="35"/>
    </row>
    <row r="939">
      <c r="A939" s="83"/>
      <c r="B939" s="35"/>
      <c r="E939" s="35"/>
    </row>
    <row r="940">
      <c r="A940" s="83"/>
      <c r="B940" s="35"/>
      <c r="E940" s="35"/>
    </row>
    <row r="941">
      <c r="A941" s="83"/>
      <c r="B941" s="35"/>
      <c r="E941" s="35"/>
    </row>
    <row r="942">
      <c r="A942" s="83"/>
      <c r="B942" s="35"/>
      <c r="E942" s="35"/>
    </row>
    <row r="943">
      <c r="A943" s="83"/>
      <c r="B943" s="35"/>
      <c r="E943" s="35"/>
    </row>
    <row r="944">
      <c r="A944" s="83"/>
      <c r="B944" s="35"/>
      <c r="E944" s="35"/>
    </row>
    <row r="945">
      <c r="A945" s="83"/>
      <c r="B945" s="35"/>
      <c r="E945" s="35"/>
    </row>
    <row r="946">
      <c r="A946" s="83"/>
      <c r="B946" s="35"/>
      <c r="E946" s="35"/>
    </row>
    <row r="947">
      <c r="A947" s="83"/>
      <c r="B947" s="35"/>
      <c r="E947" s="35"/>
    </row>
    <row r="948">
      <c r="A948" s="83"/>
      <c r="B948" s="35"/>
      <c r="E948" s="35"/>
    </row>
    <row r="949">
      <c r="A949" s="83"/>
      <c r="B949" s="35"/>
      <c r="E949" s="35"/>
    </row>
    <row r="950">
      <c r="A950" s="83"/>
      <c r="B950" s="35"/>
      <c r="E950" s="35"/>
    </row>
    <row r="951">
      <c r="A951" s="83"/>
      <c r="B951" s="35"/>
      <c r="E951" s="35"/>
    </row>
    <row r="952">
      <c r="A952" s="83"/>
      <c r="B952" s="35"/>
      <c r="E952" s="35"/>
    </row>
    <row r="953">
      <c r="A953" s="83"/>
      <c r="B953" s="35"/>
      <c r="E953" s="35"/>
    </row>
    <row r="954">
      <c r="A954" s="83"/>
      <c r="B954" s="35"/>
      <c r="E954" s="35"/>
    </row>
    <row r="955">
      <c r="A955" s="83"/>
      <c r="B955" s="35"/>
      <c r="E955" s="35"/>
    </row>
    <row r="956">
      <c r="A956" s="83"/>
      <c r="B956" s="35"/>
      <c r="E956" s="35"/>
    </row>
    <row r="957">
      <c r="A957" s="83"/>
      <c r="B957" s="35"/>
      <c r="E957" s="35"/>
    </row>
    <row r="958">
      <c r="A958" s="83"/>
      <c r="B958" s="35"/>
      <c r="E958" s="35"/>
    </row>
    <row r="959">
      <c r="A959" s="83"/>
      <c r="B959" s="35"/>
      <c r="E959" s="35"/>
    </row>
    <row r="960">
      <c r="A960" s="83"/>
      <c r="B960" s="35"/>
      <c r="E960" s="35"/>
    </row>
    <row r="961">
      <c r="A961" s="83"/>
      <c r="B961" s="35"/>
      <c r="E961" s="35"/>
    </row>
    <row r="962">
      <c r="A962" s="83"/>
      <c r="B962" s="35"/>
      <c r="E962" s="35"/>
    </row>
    <row r="963">
      <c r="A963" s="83"/>
      <c r="B963" s="35"/>
      <c r="E963" s="35"/>
    </row>
    <row r="964">
      <c r="A964" s="83"/>
      <c r="B964" s="35"/>
      <c r="E964" s="35"/>
    </row>
    <row r="965">
      <c r="A965" s="83"/>
      <c r="B965" s="35"/>
      <c r="E965" s="35"/>
    </row>
    <row r="966">
      <c r="A966" s="83"/>
      <c r="B966" s="35"/>
      <c r="E966" s="35"/>
    </row>
    <row r="967">
      <c r="A967" s="83"/>
      <c r="B967" s="35"/>
      <c r="E967" s="35"/>
    </row>
    <row r="968">
      <c r="A968" s="83"/>
      <c r="B968" s="35"/>
      <c r="E968" s="35"/>
    </row>
    <row r="969">
      <c r="A969" s="83"/>
      <c r="B969" s="35"/>
      <c r="E969" s="35"/>
    </row>
    <row r="970">
      <c r="A970" s="83"/>
      <c r="B970" s="35"/>
      <c r="E970" s="35"/>
    </row>
    <row r="971">
      <c r="A971" s="83"/>
      <c r="B971" s="35"/>
      <c r="E971" s="35"/>
    </row>
    <row r="972">
      <c r="A972" s="83"/>
      <c r="B972" s="35"/>
      <c r="E972" s="35"/>
    </row>
    <row r="973">
      <c r="A973" s="83"/>
      <c r="B973" s="35"/>
      <c r="E973" s="35"/>
    </row>
    <row r="974">
      <c r="A974" s="83"/>
      <c r="B974" s="35"/>
      <c r="E974" s="35"/>
    </row>
    <row r="975">
      <c r="A975" s="83"/>
      <c r="B975" s="35"/>
      <c r="E975" s="35"/>
    </row>
    <row r="976">
      <c r="A976" s="83"/>
      <c r="B976" s="35"/>
      <c r="E976" s="35"/>
    </row>
    <row r="977">
      <c r="A977" s="83"/>
      <c r="B977" s="35"/>
      <c r="E977" s="35"/>
    </row>
    <row r="978">
      <c r="A978" s="83"/>
      <c r="B978" s="35"/>
      <c r="E978" s="35"/>
    </row>
    <row r="979">
      <c r="A979" s="83"/>
      <c r="B979" s="35"/>
      <c r="E979" s="35"/>
    </row>
    <row r="980">
      <c r="A980" s="83"/>
      <c r="B980" s="35"/>
      <c r="E980" s="35"/>
    </row>
    <row r="981">
      <c r="A981" s="83"/>
      <c r="B981" s="35"/>
      <c r="E981" s="35"/>
    </row>
    <row r="982">
      <c r="A982" s="83"/>
      <c r="B982" s="35"/>
      <c r="E982" s="35"/>
    </row>
    <row r="983">
      <c r="A983" s="83"/>
      <c r="B983" s="35"/>
      <c r="E983" s="35"/>
    </row>
    <row r="984">
      <c r="A984" s="83"/>
      <c r="B984" s="35"/>
      <c r="E984" s="35"/>
    </row>
    <row r="985">
      <c r="A985" s="83"/>
      <c r="B985" s="35"/>
      <c r="E985" s="35"/>
    </row>
    <row r="986">
      <c r="A986" s="83"/>
      <c r="B986" s="35"/>
      <c r="E986" s="35"/>
    </row>
    <row r="987">
      <c r="A987" s="83"/>
      <c r="B987" s="35"/>
      <c r="E987" s="35"/>
    </row>
    <row r="988">
      <c r="A988" s="83"/>
      <c r="B988" s="35"/>
      <c r="E988" s="35"/>
    </row>
    <row r="989">
      <c r="A989" s="83"/>
      <c r="B989" s="35"/>
      <c r="E989" s="35"/>
    </row>
    <row r="990">
      <c r="A990" s="83"/>
      <c r="B990" s="35"/>
      <c r="E990" s="35"/>
    </row>
    <row r="991">
      <c r="A991" s="83"/>
      <c r="B991" s="35"/>
      <c r="E991" s="35"/>
    </row>
    <row r="992">
      <c r="A992" s="83"/>
      <c r="B992" s="35"/>
      <c r="E992" s="35"/>
    </row>
    <row r="993">
      <c r="A993" s="83"/>
      <c r="B993" s="35"/>
      <c r="E993" s="35"/>
    </row>
    <row r="994">
      <c r="A994" s="83"/>
      <c r="B994" s="35"/>
      <c r="E994" s="35"/>
    </row>
    <row r="995">
      <c r="A995" s="83"/>
      <c r="B995" s="35"/>
      <c r="E995" s="35"/>
    </row>
    <row r="996">
      <c r="A996" s="83"/>
      <c r="B996" s="35"/>
      <c r="E996" s="35"/>
    </row>
    <row r="997">
      <c r="A997" s="83"/>
      <c r="B997" s="35"/>
      <c r="E997" s="35"/>
    </row>
    <row r="998">
      <c r="A998" s="83"/>
      <c r="B998" s="35"/>
      <c r="E998" s="35"/>
    </row>
    <row r="999">
      <c r="A999" s="83"/>
      <c r="B999" s="35"/>
      <c r="E999" s="35"/>
    </row>
    <row r="1000">
      <c r="A1000" s="83"/>
      <c r="B1000" s="35"/>
      <c r="E1000" s="35"/>
    </row>
    <row r="1001">
      <c r="A1001" s="83"/>
      <c r="B1001" s="35"/>
      <c r="E1001" s="35"/>
    </row>
    <row r="1002">
      <c r="A1002" s="83"/>
      <c r="B1002" s="35"/>
      <c r="E1002" s="3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34.38"/>
    <col customWidth="1" min="3" max="3" width="19.38"/>
  </cols>
  <sheetData>
    <row r="1">
      <c r="A1" s="87" t="s">
        <v>1396</v>
      </c>
      <c r="B1" s="88" t="s">
        <v>2504</v>
      </c>
      <c r="C1" s="89" t="s">
        <v>1390</v>
      </c>
      <c r="D1" s="89" t="s">
        <v>2505</v>
      </c>
    </row>
    <row r="2">
      <c r="A2" s="1" t="s">
        <v>1452</v>
      </c>
      <c r="B2" s="36" t="s">
        <v>2506</v>
      </c>
    </row>
    <row r="3">
      <c r="A3" s="1" t="s">
        <v>2507</v>
      </c>
      <c r="B3" s="36" t="s">
        <v>2508</v>
      </c>
    </row>
    <row r="4">
      <c r="A4" s="1" t="s">
        <v>1965</v>
      </c>
      <c r="B4" s="36" t="s">
        <v>2509</v>
      </c>
    </row>
    <row r="5">
      <c r="A5" s="1" t="s">
        <v>1484</v>
      </c>
      <c r="B5" s="36" t="s">
        <v>2510</v>
      </c>
    </row>
    <row r="6">
      <c r="A6" s="1" t="s">
        <v>2511</v>
      </c>
      <c r="B6" s="36" t="s">
        <v>2512</v>
      </c>
    </row>
    <row r="7">
      <c r="A7" s="1" t="s">
        <v>1513</v>
      </c>
      <c r="B7" s="36" t="s">
        <v>2513</v>
      </c>
    </row>
    <row r="8">
      <c r="A8" s="1" t="s">
        <v>1958</v>
      </c>
      <c r="B8" s="36" t="s">
        <v>2514</v>
      </c>
    </row>
    <row r="9">
      <c r="A9" s="1" t="s">
        <v>2515</v>
      </c>
      <c r="B9" s="36" t="s">
        <v>2516</v>
      </c>
    </row>
    <row r="10">
      <c r="A10" s="1" t="s">
        <v>1494</v>
      </c>
      <c r="B10" s="36" t="s">
        <v>2517</v>
      </c>
    </row>
    <row r="11">
      <c r="A11" s="1" t="s">
        <v>2217</v>
      </c>
      <c r="B11" s="36" t="s">
        <v>2518</v>
      </c>
    </row>
    <row r="12">
      <c r="A12" s="1" t="s">
        <v>1561</v>
      </c>
      <c r="B12" s="36" t="s">
        <v>2519</v>
      </c>
    </row>
    <row r="13">
      <c r="A13" s="1" t="s">
        <v>2520</v>
      </c>
      <c r="B13" s="36" t="s">
        <v>2521</v>
      </c>
    </row>
    <row r="14">
      <c r="A14" s="1" t="s">
        <v>1506</v>
      </c>
      <c r="B14" s="36" t="s">
        <v>2522</v>
      </c>
    </row>
    <row r="15">
      <c r="A15" s="1" t="s">
        <v>1955</v>
      </c>
      <c r="B15" s="36" t="s">
        <v>2523</v>
      </c>
    </row>
    <row r="16">
      <c r="A16" s="1" t="s">
        <v>2524</v>
      </c>
      <c r="B16" s="36" t="s">
        <v>2525</v>
      </c>
    </row>
    <row r="17">
      <c r="A17" s="1" t="s">
        <v>2526</v>
      </c>
      <c r="B17" s="36" t="s">
        <v>2527</v>
      </c>
    </row>
    <row r="18">
      <c r="A18" s="1" t="s">
        <v>2419</v>
      </c>
      <c r="B18" s="36" t="s">
        <v>2528</v>
      </c>
    </row>
    <row r="19">
      <c r="A19" s="1" t="s">
        <v>2079</v>
      </c>
      <c r="B19" s="36" t="s">
        <v>2529</v>
      </c>
      <c r="C19" s="1" t="s">
        <v>2530</v>
      </c>
      <c r="D19" s="1" t="s">
        <v>2531</v>
      </c>
    </row>
    <row r="20">
      <c r="A20" s="1" t="s">
        <v>2532</v>
      </c>
      <c r="B20" s="36" t="s">
        <v>2533</v>
      </c>
      <c r="C20" s="1" t="s">
        <v>2534</v>
      </c>
      <c r="D20" s="1" t="s">
        <v>2535</v>
      </c>
    </row>
    <row r="21">
      <c r="A21" s="1" t="s">
        <v>2536</v>
      </c>
      <c r="B21" s="36" t="s">
        <v>2537</v>
      </c>
    </row>
    <row r="22">
      <c r="A22" s="1" t="s">
        <v>2538</v>
      </c>
      <c r="B22" s="36" t="s">
        <v>2539</v>
      </c>
    </row>
    <row r="23">
      <c r="A23" s="1" t="s">
        <v>2540</v>
      </c>
      <c r="B23" s="43"/>
    </row>
    <row r="24">
      <c r="A24" s="1" t="s">
        <v>2022</v>
      </c>
      <c r="B24" s="36" t="s">
        <v>2541</v>
      </c>
    </row>
    <row r="25">
      <c r="A25" s="1" t="s">
        <v>1414</v>
      </c>
      <c r="B25" s="36" t="s">
        <v>2542</v>
      </c>
    </row>
    <row r="26">
      <c r="A26" s="1" t="s">
        <v>2004</v>
      </c>
      <c r="B26" s="36" t="s">
        <v>2543</v>
      </c>
    </row>
    <row r="27">
      <c r="A27" s="1" t="s">
        <v>1531</v>
      </c>
      <c r="B27" s="36" t="s">
        <v>2544</v>
      </c>
    </row>
    <row r="28">
      <c r="A28" s="1" t="s">
        <v>2276</v>
      </c>
      <c r="B28" s="36" t="s">
        <v>2545</v>
      </c>
    </row>
    <row r="29">
      <c r="A29" s="1" t="s">
        <v>2251</v>
      </c>
      <c r="B29" s="36" t="s">
        <v>2546</v>
      </c>
    </row>
    <row r="30">
      <c r="A30" s="1" t="s">
        <v>2064</v>
      </c>
      <c r="B30" s="36" t="s">
        <v>2547</v>
      </c>
    </row>
    <row r="31">
      <c r="A31" s="1" t="s">
        <v>2548</v>
      </c>
      <c r="B31" s="36" t="s">
        <v>2549</v>
      </c>
    </row>
    <row r="32">
      <c r="A32" s="1" t="s">
        <v>2550</v>
      </c>
      <c r="B32" s="36" t="s">
        <v>2551</v>
      </c>
    </row>
    <row r="33">
      <c r="B33" s="43"/>
    </row>
    <row r="34">
      <c r="B34" s="43"/>
    </row>
    <row r="35">
      <c r="B35" s="43"/>
    </row>
    <row r="36">
      <c r="B36" s="43"/>
    </row>
    <row r="37">
      <c r="B37" s="43"/>
    </row>
    <row r="38">
      <c r="B38" s="43"/>
    </row>
    <row r="39">
      <c r="B39" s="43"/>
    </row>
    <row r="40">
      <c r="B40" s="43"/>
    </row>
    <row r="41">
      <c r="B41" s="43"/>
    </row>
    <row r="42">
      <c r="B42" s="43"/>
    </row>
    <row r="43">
      <c r="B43" s="43"/>
    </row>
    <row r="44">
      <c r="B44" s="43"/>
    </row>
    <row r="45">
      <c r="B45" s="43"/>
    </row>
    <row r="46">
      <c r="B46" s="43"/>
    </row>
    <row r="47">
      <c r="B47" s="43"/>
    </row>
    <row r="48">
      <c r="B48" s="43"/>
    </row>
    <row r="49">
      <c r="B49" s="43"/>
    </row>
    <row r="50">
      <c r="B50" s="43"/>
    </row>
    <row r="51">
      <c r="B51" s="43"/>
    </row>
    <row r="52">
      <c r="B52" s="43"/>
    </row>
    <row r="53">
      <c r="B53" s="43"/>
    </row>
    <row r="54">
      <c r="B54" s="43"/>
    </row>
    <row r="55">
      <c r="B55" s="43"/>
    </row>
    <row r="56">
      <c r="B56" s="43"/>
    </row>
    <row r="57">
      <c r="B57" s="43"/>
    </row>
    <row r="58">
      <c r="B58" s="43"/>
    </row>
    <row r="59">
      <c r="B59" s="43"/>
    </row>
    <row r="60">
      <c r="B60" s="43"/>
    </row>
    <row r="61">
      <c r="B61" s="43"/>
    </row>
    <row r="62">
      <c r="B62" s="43"/>
    </row>
    <row r="63">
      <c r="B63" s="43"/>
    </row>
    <row r="64">
      <c r="B64" s="43"/>
    </row>
    <row r="65">
      <c r="B65" s="43"/>
    </row>
    <row r="66">
      <c r="B66" s="43"/>
    </row>
    <row r="67">
      <c r="B67" s="43"/>
    </row>
    <row r="68">
      <c r="B68" s="43"/>
    </row>
    <row r="69">
      <c r="B69" s="43"/>
    </row>
    <row r="70">
      <c r="B70" s="43"/>
    </row>
    <row r="71">
      <c r="B71" s="43"/>
    </row>
    <row r="72">
      <c r="B72" s="43"/>
    </row>
    <row r="73">
      <c r="B73" s="43"/>
    </row>
    <row r="74">
      <c r="B74" s="43"/>
    </row>
    <row r="75">
      <c r="B75" s="43"/>
    </row>
    <row r="76">
      <c r="B76" s="43"/>
    </row>
    <row r="77">
      <c r="B77" s="43"/>
    </row>
    <row r="78">
      <c r="B78" s="43"/>
    </row>
    <row r="79">
      <c r="B79" s="43"/>
    </row>
    <row r="80">
      <c r="B80" s="43"/>
    </row>
    <row r="81">
      <c r="B81" s="43"/>
    </row>
    <row r="82">
      <c r="B82" s="43"/>
    </row>
    <row r="83">
      <c r="B83" s="43"/>
    </row>
    <row r="84">
      <c r="B84" s="43"/>
    </row>
    <row r="85">
      <c r="B85" s="43"/>
    </row>
    <row r="86">
      <c r="B86" s="43"/>
    </row>
    <row r="87">
      <c r="B87" s="43"/>
    </row>
    <row r="88">
      <c r="B88" s="43"/>
    </row>
    <row r="89">
      <c r="B89" s="43"/>
    </row>
    <row r="90">
      <c r="B90" s="43"/>
    </row>
    <row r="91">
      <c r="B91" s="43"/>
    </row>
    <row r="92">
      <c r="B92" s="43"/>
    </row>
    <row r="93">
      <c r="B93" s="43"/>
    </row>
    <row r="94">
      <c r="B94" s="43"/>
    </row>
    <row r="95">
      <c r="B95" s="43"/>
    </row>
    <row r="96">
      <c r="B96" s="43"/>
    </row>
    <row r="97">
      <c r="B97" s="43"/>
    </row>
    <row r="98">
      <c r="B98" s="43"/>
    </row>
    <row r="99">
      <c r="B99" s="43"/>
    </row>
    <row r="100">
      <c r="B100" s="43"/>
    </row>
    <row r="101">
      <c r="B101" s="43"/>
    </row>
    <row r="102">
      <c r="B102" s="43"/>
    </row>
    <row r="103">
      <c r="B103" s="43"/>
    </row>
    <row r="104">
      <c r="B104" s="43"/>
    </row>
    <row r="105">
      <c r="B105" s="43"/>
    </row>
    <row r="106">
      <c r="B106" s="43"/>
    </row>
    <row r="107">
      <c r="B107" s="43"/>
    </row>
    <row r="108">
      <c r="B108" s="43"/>
    </row>
    <row r="109">
      <c r="B109" s="43"/>
    </row>
    <row r="110">
      <c r="B110" s="43"/>
    </row>
    <row r="111">
      <c r="B111" s="43"/>
    </row>
    <row r="112">
      <c r="B112" s="43"/>
    </row>
    <row r="113">
      <c r="B113" s="43"/>
    </row>
    <row r="114">
      <c r="B114" s="43"/>
    </row>
    <row r="115">
      <c r="B115" s="43"/>
    </row>
    <row r="116">
      <c r="B116" s="43"/>
    </row>
    <row r="117">
      <c r="B117" s="43"/>
    </row>
    <row r="118">
      <c r="B118" s="43"/>
    </row>
    <row r="119">
      <c r="B119" s="43"/>
    </row>
    <row r="120">
      <c r="B120" s="43"/>
    </row>
    <row r="121">
      <c r="B121" s="43"/>
    </row>
    <row r="122">
      <c r="B122" s="43"/>
    </row>
    <row r="123">
      <c r="B123" s="43"/>
    </row>
    <row r="124">
      <c r="B124" s="43"/>
    </row>
    <row r="125">
      <c r="B125" s="43"/>
    </row>
    <row r="126">
      <c r="B126" s="43"/>
    </row>
    <row r="127">
      <c r="B127" s="43"/>
    </row>
    <row r="128">
      <c r="B128" s="43"/>
    </row>
    <row r="129">
      <c r="B129" s="43"/>
    </row>
    <row r="130">
      <c r="B130" s="43"/>
    </row>
    <row r="131">
      <c r="B131" s="43"/>
    </row>
    <row r="132">
      <c r="B132" s="43"/>
    </row>
    <row r="133">
      <c r="B133" s="43"/>
    </row>
    <row r="134">
      <c r="B134" s="43"/>
    </row>
    <row r="135">
      <c r="B135" s="43"/>
    </row>
    <row r="136">
      <c r="B136" s="43"/>
    </row>
    <row r="137">
      <c r="B137" s="43"/>
    </row>
    <row r="138">
      <c r="B138" s="43"/>
    </row>
    <row r="139">
      <c r="B139" s="43"/>
    </row>
    <row r="140">
      <c r="B140" s="43"/>
    </row>
    <row r="141">
      <c r="B141" s="43"/>
    </row>
    <row r="142">
      <c r="B142" s="43"/>
    </row>
    <row r="143">
      <c r="B143" s="43"/>
    </row>
    <row r="144">
      <c r="B144" s="43"/>
    </row>
    <row r="145">
      <c r="B145" s="43"/>
    </row>
    <row r="146">
      <c r="B146" s="43"/>
    </row>
    <row r="147">
      <c r="B147" s="43"/>
    </row>
    <row r="148">
      <c r="B148" s="43"/>
    </row>
    <row r="149">
      <c r="B149" s="43"/>
    </row>
    <row r="150">
      <c r="B150" s="43"/>
    </row>
    <row r="151">
      <c r="B151" s="43"/>
    </row>
    <row r="152">
      <c r="B152" s="43"/>
    </row>
    <row r="153">
      <c r="B153" s="43"/>
    </row>
    <row r="154">
      <c r="B154" s="43"/>
    </row>
    <row r="155">
      <c r="B155" s="43"/>
    </row>
    <row r="156">
      <c r="B156" s="43"/>
    </row>
    <row r="157">
      <c r="B157" s="43"/>
    </row>
    <row r="158">
      <c r="B158" s="43"/>
    </row>
    <row r="159">
      <c r="B159" s="43"/>
    </row>
    <row r="160">
      <c r="B160" s="43"/>
    </row>
    <row r="161">
      <c r="B161" s="43"/>
    </row>
    <row r="162">
      <c r="B162" s="43"/>
    </row>
    <row r="163">
      <c r="B163" s="43"/>
    </row>
    <row r="164">
      <c r="B164" s="43"/>
    </row>
    <row r="165">
      <c r="B165" s="43"/>
    </row>
    <row r="166">
      <c r="B166" s="43"/>
    </row>
    <row r="167">
      <c r="B167" s="43"/>
    </row>
    <row r="168">
      <c r="B168" s="43"/>
    </row>
    <row r="169">
      <c r="B169" s="43"/>
    </row>
    <row r="170">
      <c r="B170" s="43"/>
    </row>
    <row r="171">
      <c r="B171" s="43"/>
    </row>
    <row r="172">
      <c r="B172" s="43"/>
    </row>
    <row r="173">
      <c r="B173" s="43"/>
    </row>
    <row r="174">
      <c r="B174" s="43"/>
    </row>
    <row r="175">
      <c r="B175" s="43"/>
    </row>
    <row r="176">
      <c r="B176" s="43"/>
    </row>
    <row r="177">
      <c r="B177" s="43"/>
    </row>
    <row r="178">
      <c r="B178" s="43"/>
    </row>
    <row r="179">
      <c r="B179" s="43"/>
    </row>
    <row r="180">
      <c r="B180" s="43"/>
    </row>
    <row r="181">
      <c r="B181" s="43"/>
    </row>
    <row r="182">
      <c r="B182" s="43"/>
    </row>
    <row r="183">
      <c r="B183" s="43"/>
    </row>
    <row r="184">
      <c r="B184" s="43"/>
    </row>
    <row r="185">
      <c r="B185" s="43"/>
    </row>
    <row r="186">
      <c r="B186" s="43"/>
    </row>
    <row r="187">
      <c r="B187" s="43"/>
    </row>
    <row r="188">
      <c r="B188" s="43"/>
    </row>
    <row r="189">
      <c r="B189" s="43"/>
    </row>
    <row r="190">
      <c r="B190" s="43"/>
    </row>
    <row r="191">
      <c r="B191" s="43"/>
    </row>
    <row r="192">
      <c r="B192" s="43"/>
    </row>
    <row r="193">
      <c r="B193" s="43"/>
    </row>
    <row r="194">
      <c r="B194" s="43"/>
    </row>
    <row r="195">
      <c r="B195" s="43"/>
    </row>
    <row r="196">
      <c r="B196" s="43"/>
    </row>
    <row r="197">
      <c r="B197" s="43"/>
    </row>
    <row r="198">
      <c r="B198" s="43"/>
    </row>
    <row r="199">
      <c r="B199" s="43"/>
    </row>
    <row r="200">
      <c r="B200" s="43"/>
    </row>
    <row r="201">
      <c r="B201" s="43"/>
    </row>
    <row r="202">
      <c r="B202" s="43"/>
    </row>
    <row r="203">
      <c r="B203" s="43"/>
    </row>
    <row r="204">
      <c r="B204" s="43"/>
    </row>
    <row r="205">
      <c r="B205" s="43"/>
    </row>
    <row r="206">
      <c r="B206" s="43"/>
    </row>
    <row r="207">
      <c r="B207" s="43"/>
    </row>
    <row r="208">
      <c r="B208" s="43"/>
    </row>
    <row r="209">
      <c r="B209" s="43"/>
    </row>
    <row r="210">
      <c r="B210" s="43"/>
    </row>
    <row r="211">
      <c r="B211" s="43"/>
    </row>
    <row r="212">
      <c r="B212" s="43"/>
    </row>
    <row r="213">
      <c r="B213" s="43"/>
    </row>
    <row r="214">
      <c r="B214" s="43"/>
    </row>
    <row r="215">
      <c r="B215" s="43"/>
    </row>
    <row r="216">
      <c r="B216" s="43"/>
    </row>
    <row r="217">
      <c r="B217" s="43"/>
    </row>
    <row r="218">
      <c r="B218" s="43"/>
    </row>
    <row r="219">
      <c r="B219" s="43"/>
    </row>
    <row r="220">
      <c r="B220" s="43"/>
    </row>
    <row r="221">
      <c r="B221" s="43"/>
    </row>
    <row r="222">
      <c r="B222" s="43"/>
    </row>
    <row r="223">
      <c r="B223" s="43"/>
    </row>
    <row r="224">
      <c r="B224" s="43"/>
    </row>
    <row r="225">
      <c r="B225" s="43"/>
    </row>
    <row r="226">
      <c r="B226" s="43"/>
    </row>
    <row r="227">
      <c r="B227" s="43"/>
    </row>
    <row r="228">
      <c r="B228" s="43"/>
    </row>
    <row r="229">
      <c r="B229" s="43"/>
    </row>
    <row r="230">
      <c r="B230" s="43"/>
    </row>
    <row r="231">
      <c r="B231" s="43"/>
    </row>
    <row r="232">
      <c r="B232" s="43"/>
    </row>
    <row r="233">
      <c r="B233" s="43"/>
    </row>
    <row r="234">
      <c r="B234" s="43"/>
    </row>
    <row r="235">
      <c r="B235" s="43"/>
    </row>
    <row r="236">
      <c r="B236" s="43"/>
    </row>
    <row r="237">
      <c r="B237" s="43"/>
    </row>
    <row r="238">
      <c r="B238" s="43"/>
    </row>
    <row r="239">
      <c r="B239" s="43"/>
    </row>
    <row r="240">
      <c r="B240" s="43"/>
    </row>
    <row r="241">
      <c r="B241" s="43"/>
    </row>
    <row r="242">
      <c r="B242" s="43"/>
    </row>
    <row r="243">
      <c r="B243" s="43"/>
    </row>
    <row r="244">
      <c r="B244" s="43"/>
    </row>
    <row r="245">
      <c r="B245" s="43"/>
    </row>
    <row r="246">
      <c r="B246" s="43"/>
    </row>
    <row r="247">
      <c r="B247" s="43"/>
    </row>
    <row r="248">
      <c r="B248" s="43"/>
    </row>
    <row r="249">
      <c r="B249" s="43"/>
    </row>
    <row r="250">
      <c r="B250" s="43"/>
    </row>
    <row r="251">
      <c r="B251" s="43"/>
    </row>
    <row r="252">
      <c r="B252" s="43"/>
    </row>
    <row r="253">
      <c r="B253" s="43"/>
    </row>
    <row r="254">
      <c r="B254" s="43"/>
    </row>
    <row r="255">
      <c r="B255" s="43"/>
    </row>
    <row r="256">
      <c r="B256" s="43"/>
    </row>
    <row r="257">
      <c r="B257" s="43"/>
    </row>
    <row r="258">
      <c r="B258" s="43"/>
    </row>
    <row r="259">
      <c r="B259" s="43"/>
    </row>
    <row r="260">
      <c r="B260" s="43"/>
    </row>
    <row r="261">
      <c r="B261" s="43"/>
    </row>
    <row r="262">
      <c r="B262" s="43"/>
    </row>
    <row r="263">
      <c r="B263" s="43"/>
    </row>
    <row r="264">
      <c r="B264" s="43"/>
    </row>
    <row r="265">
      <c r="B265" s="43"/>
    </row>
    <row r="266">
      <c r="B266" s="43"/>
    </row>
    <row r="267">
      <c r="B267" s="43"/>
    </row>
    <row r="268">
      <c r="B268" s="43"/>
    </row>
    <row r="269">
      <c r="B269" s="43"/>
    </row>
    <row r="270">
      <c r="B270" s="43"/>
    </row>
    <row r="271">
      <c r="B271" s="43"/>
    </row>
    <row r="272">
      <c r="B272" s="43"/>
    </row>
    <row r="273">
      <c r="B273" s="43"/>
    </row>
    <row r="274">
      <c r="B274" s="43"/>
    </row>
    <row r="275">
      <c r="B275" s="43"/>
    </row>
    <row r="276">
      <c r="B276" s="43"/>
    </row>
    <row r="277">
      <c r="B277" s="43"/>
    </row>
    <row r="278">
      <c r="B278" s="43"/>
    </row>
    <row r="279">
      <c r="B279" s="43"/>
    </row>
    <row r="280">
      <c r="B280" s="43"/>
    </row>
    <row r="281">
      <c r="B281" s="43"/>
    </row>
    <row r="282">
      <c r="B282" s="43"/>
    </row>
    <row r="283">
      <c r="B283" s="43"/>
    </row>
    <row r="284">
      <c r="B284" s="43"/>
    </row>
    <row r="285">
      <c r="B285" s="43"/>
    </row>
    <row r="286">
      <c r="B286" s="43"/>
    </row>
    <row r="287">
      <c r="B287" s="43"/>
    </row>
    <row r="288">
      <c r="B288" s="43"/>
    </row>
    <row r="289">
      <c r="B289" s="43"/>
    </row>
    <row r="290">
      <c r="B290" s="43"/>
    </row>
    <row r="291">
      <c r="B291" s="43"/>
    </row>
    <row r="292">
      <c r="B292" s="43"/>
    </row>
    <row r="293">
      <c r="B293" s="43"/>
    </row>
    <row r="294">
      <c r="B294" s="43"/>
    </row>
    <row r="295">
      <c r="B295" s="43"/>
    </row>
    <row r="296">
      <c r="B296" s="43"/>
    </row>
    <row r="297">
      <c r="B297" s="43"/>
    </row>
    <row r="298">
      <c r="B298" s="43"/>
    </row>
    <row r="299">
      <c r="B299" s="43"/>
    </row>
    <row r="300">
      <c r="B300" s="43"/>
    </row>
    <row r="301">
      <c r="B301" s="43"/>
    </row>
    <row r="302">
      <c r="B302" s="43"/>
    </row>
    <row r="303">
      <c r="B303" s="43"/>
    </row>
    <row r="304">
      <c r="B304" s="43"/>
    </row>
    <row r="305">
      <c r="B305" s="43"/>
    </row>
    <row r="306">
      <c r="B306" s="43"/>
    </row>
    <row r="307">
      <c r="B307" s="43"/>
    </row>
    <row r="308">
      <c r="B308" s="43"/>
    </row>
    <row r="309">
      <c r="B309" s="43"/>
    </row>
    <row r="310">
      <c r="B310" s="43"/>
    </row>
    <row r="311">
      <c r="B311" s="43"/>
    </row>
    <row r="312">
      <c r="B312" s="43"/>
    </row>
    <row r="313">
      <c r="B313" s="43"/>
    </row>
    <row r="314">
      <c r="B314" s="43"/>
    </row>
    <row r="315">
      <c r="B315" s="43"/>
    </row>
    <row r="316">
      <c r="B316" s="43"/>
    </row>
    <row r="317">
      <c r="B317" s="43"/>
    </row>
    <row r="318">
      <c r="B318" s="43"/>
    </row>
    <row r="319">
      <c r="B319" s="43"/>
    </row>
    <row r="320">
      <c r="B320" s="43"/>
    </row>
    <row r="321">
      <c r="B321" s="43"/>
    </row>
    <row r="322">
      <c r="B322" s="43"/>
    </row>
    <row r="323">
      <c r="B323" s="43"/>
    </row>
    <row r="324">
      <c r="B324" s="43"/>
    </row>
    <row r="325">
      <c r="B325" s="43"/>
    </row>
    <row r="326">
      <c r="B326" s="43"/>
    </row>
    <row r="327">
      <c r="B327" s="43"/>
    </row>
    <row r="328">
      <c r="B328" s="43"/>
    </row>
    <row r="329">
      <c r="B329" s="43"/>
    </row>
    <row r="330">
      <c r="B330" s="43"/>
    </row>
    <row r="331">
      <c r="B331" s="43"/>
    </row>
    <row r="332">
      <c r="B332" s="43"/>
    </row>
    <row r="333">
      <c r="B333" s="43"/>
    </row>
    <row r="334">
      <c r="B334" s="43"/>
    </row>
    <row r="335">
      <c r="B335" s="43"/>
    </row>
    <row r="336">
      <c r="B336" s="43"/>
    </row>
    <row r="337">
      <c r="B337" s="43"/>
    </row>
    <row r="338">
      <c r="B338" s="43"/>
    </row>
    <row r="339">
      <c r="B339" s="43"/>
    </row>
    <row r="340">
      <c r="B340" s="43"/>
    </row>
    <row r="341">
      <c r="B341" s="43"/>
    </row>
    <row r="342">
      <c r="B342" s="43"/>
    </row>
    <row r="343">
      <c r="B343" s="43"/>
    </row>
    <row r="344">
      <c r="B344" s="43"/>
    </row>
    <row r="345">
      <c r="B345" s="43"/>
    </row>
    <row r="346">
      <c r="B346" s="43"/>
    </row>
    <row r="347">
      <c r="B347" s="43"/>
    </row>
    <row r="348">
      <c r="B348" s="43"/>
    </row>
    <row r="349">
      <c r="B349" s="43"/>
    </row>
    <row r="350">
      <c r="B350" s="43"/>
    </row>
    <row r="351">
      <c r="B351" s="43"/>
    </row>
    <row r="352">
      <c r="B352" s="43"/>
    </row>
    <row r="353">
      <c r="B353" s="43"/>
    </row>
    <row r="354">
      <c r="B354" s="43"/>
    </row>
    <row r="355">
      <c r="B355" s="43"/>
    </row>
    <row r="356">
      <c r="B356" s="43"/>
    </row>
    <row r="357">
      <c r="B357" s="43"/>
    </row>
    <row r="358">
      <c r="B358" s="43"/>
    </row>
    <row r="359">
      <c r="B359" s="43"/>
    </row>
    <row r="360">
      <c r="B360" s="43"/>
    </row>
    <row r="361">
      <c r="B361" s="43"/>
    </row>
    <row r="362">
      <c r="B362" s="43"/>
    </row>
    <row r="363">
      <c r="B363" s="43"/>
    </row>
    <row r="364">
      <c r="B364" s="43"/>
    </row>
    <row r="365">
      <c r="B365" s="43"/>
    </row>
    <row r="366">
      <c r="B366" s="43"/>
    </row>
    <row r="367">
      <c r="B367" s="43"/>
    </row>
    <row r="368">
      <c r="B368" s="43"/>
    </row>
    <row r="369">
      <c r="B369" s="43"/>
    </row>
    <row r="370">
      <c r="B370" s="43"/>
    </row>
    <row r="371">
      <c r="B371" s="43"/>
    </row>
    <row r="372">
      <c r="B372" s="43"/>
    </row>
    <row r="373">
      <c r="B373" s="43"/>
    </row>
    <row r="374">
      <c r="B374" s="43"/>
    </row>
    <row r="375">
      <c r="B375" s="43"/>
    </row>
    <row r="376">
      <c r="B376" s="43"/>
    </row>
    <row r="377">
      <c r="B377" s="43"/>
    </row>
    <row r="378">
      <c r="B378" s="43"/>
    </row>
    <row r="379">
      <c r="B379" s="43"/>
    </row>
    <row r="380">
      <c r="B380" s="43"/>
    </row>
    <row r="381">
      <c r="B381" s="43"/>
    </row>
    <row r="382">
      <c r="B382" s="43"/>
    </row>
    <row r="383">
      <c r="B383" s="43"/>
    </row>
    <row r="384">
      <c r="B384" s="43"/>
    </row>
    <row r="385">
      <c r="B385" s="43"/>
    </row>
    <row r="386">
      <c r="B386" s="43"/>
    </row>
    <row r="387">
      <c r="B387" s="43"/>
    </row>
    <row r="388">
      <c r="B388" s="43"/>
    </row>
    <row r="389">
      <c r="B389" s="43"/>
    </row>
    <row r="390">
      <c r="B390" s="43"/>
    </row>
    <row r="391">
      <c r="B391" s="43"/>
    </row>
    <row r="392">
      <c r="B392" s="43"/>
    </row>
    <row r="393">
      <c r="B393" s="43"/>
    </row>
    <row r="394">
      <c r="B394" s="43"/>
    </row>
    <row r="395">
      <c r="B395" s="43"/>
    </row>
    <row r="396">
      <c r="B396" s="43"/>
    </row>
    <row r="397">
      <c r="B397" s="43"/>
    </row>
    <row r="398">
      <c r="B398" s="43"/>
    </row>
    <row r="399">
      <c r="B399" s="43"/>
    </row>
    <row r="400">
      <c r="B400" s="43"/>
    </row>
    <row r="401">
      <c r="B401" s="43"/>
    </row>
    <row r="402">
      <c r="B402" s="43"/>
    </row>
    <row r="403">
      <c r="B403" s="43"/>
    </row>
    <row r="404">
      <c r="B404" s="43"/>
    </row>
    <row r="405">
      <c r="B405" s="43"/>
    </row>
    <row r="406">
      <c r="B406" s="43"/>
    </row>
    <row r="407">
      <c r="B407" s="43"/>
    </row>
    <row r="408">
      <c r="B408" s="43"/>
    </row>
    <row r="409">
      <c r="B409" s="43"/>
    </row>
    <row r="410">
      <c r="B410" s="43"/>
    </row>
    <row r="411">
      <c r="B411" s="43"/>
    </row>
    <row r="412">
      <c r="B412" s="43"/>
    </row>
    <row r="413">
      <c r="B413" s="43"/>
    </row>
    <row r="414">
      <c r="B414" s="43"/>
    </row>
    <row r="415">
      <c r="B415" s="43"/>
    </row>
    <row r="416">
      <c r="B416" s="43"/>
    </row>
    <row r="417">
      <c r="B417" s="43"/>
    </row>
    <row r="418">
      <c r="B418" s="43"/>
    </row>
    <row r="419">
      <c r="B419" s="43"/>
    </row>
    <row r="420">
      <c r="B420" s="43"/>
    </row>
    <row r="421">
      <c r="B421" s="43"/>
    </row>
    <row r="422">
      <c r="B422" s="43"/>
    </row>
    <row r="423">
      <c r="B423" s="43"/>
    </row>
    <row r="424">
      <c r="B424" s="43"/>
    </row>
    <row r="425">
      <c r="B425" s="43"/>
    </row>
    <row r="426">
      <c r="B426" s="43"/>
    </row>
    <row r="427">
      <c r="B427" s="43"/>
    </row>
    <row r="428">
      <c r="B428" s="43"/>
    </row>
    <row r="429">
      <c r="B429" s="43"/>
    </row>
    <row r="430">
      <c r="B430" s="43"/>
    </row>
    <row r="431">
      <c r="B431" s="43"/>
    </row>
    <row r="432">
      <c r="B432" s="43"/>
    </row>
    <row r="433">
      <c r="B433" s="43"/>
    </row>
    <row r="434">
      <c r="B434" s="43"/>
    </row>
    <row r="435">
      <c r="B435" s="43"/>
    </row>
    <row r="436">
      <c r="B436" s="43"/>
    </row>
    <row r="437">
      <c r="B437" s="43"/>
    </row>
    <row r="438">
      <c r="B438" s="43"/>
    </row>
    <row r="439">
      <c r="B439" s="43"/>
    </row>
    <row r="440">
      <c r="B440" s="43"/>
    </row>
    <row r="441">
      <c r="B441" s="43"/>
    </row>
    <row r="442">
      <c r="B442" s="43"/>
    </row>
    <row r="443">
      <c r="B443" s="43"/>
    </row>
    <row r="444">
      <c r="B444" s="43"/>
    </row>
    <row r="445">
      <c r="B445" s="43"/>
    </row>
    <row r="446">
      <c r="B446" s="43"/>
    </row>
    <row r="447">
      <c r="B447" s="43"/>
    </row>
    <row r="448">
      <c r="B448" s="43"/>
    </row>
    <row r="449">
      <c r="B449" s="43"/>
    </row>
    <row r="450">
      <c r="B450" s="43"/>
    </row>
    <row r="451">
      <c r="B451" s="43"/>
    </row>
    <row r="452">
      <c r="B452" s="43"/>
    </row>
    <row r="453">
      <c r="B453" s="43"/>
    </row>
    <row r="454">
      <c r="B454" s="43"/>
    </row>
    <row r="455">
      <c r="B455" s="43"/>
    </row>
    <row r="456">
      <c r="B456" s="43"/>
    </row>
    <row r="457">
      <c r="B457" s="43"/>
    </row>
    <row r="458">
      <c r="B458" s="43"/>
    </row>
    <row r="459">
      <c r="B459" s="43"/>
    </row>
    <row r="460">
      <c r="B460" s="43"/>
    </row>
    <row r="461">
      <c r="B461" s="43"/>
    </row>
    <row r="462">
      <c r="B462" s="43"/>
    </row>
    <row r="463">
      <c r="B463" s="43"/>
    </row>
    <row r="464">
      <c r="B464" s="43"/>
    </row>
    <row r="465">
      <c r="B465" s="43"/>
    </row>
    <row r="466">
      <c r="B466" s="43"/>
    </row>
    <row r="467">
      <c r="B467" s="43"/>
    </row>
    <row r="468">
      <c r="B468" s="43"/>
    </row>
    <row r="469">
      <c r="B469" s="43"/>
    </row>
    <row r="470">
      <c r="B470" s="43"/>
    </row>
    <row r="471">
      <c r="B471" s="43"/>
    </row>
    <row r="472">
      <c r="B472" s="43"/>
    </row>
    <row r="473">
      <c r="B473" s="43"/>
    </row>
    <row r="474">
      <c r="B474" s="43"/>
    </row>
    <row r="475">
      <c r="B475" s="43"/>
    </row>
    <row r="476">
      <c r="B476" s="43"/>
    </row>
    <row r="477">
      <c r="B477" s="43"/>
    </row>
    <row r="478">
      <c r="B478" s="43"/>
    </row>
    <row r="479">
      <c r="B479" s="43"/>
    </row>
    <row r="480">
      <c r="B480" s="43"/>
    </row>
    <row r="481">
      <c r="B481" s="43"/>
    </row>
    <row r="482">
      <c r="B482" s="43"/>
    </row>
    <row r="483">
      <c r="B483" s="43"/>
    </row>
    <row r="484">
      <c r="B484" s="43"/>
    </row>
    <row r="485">
      <c r="B485" s="43"/>
    </row>
    <row r="486">
      <c r="B486" s="43"/>
    </row>
    <row r="487">
      <c r="B487" s="43"/>
    </row>
    <row r="488">
      <c r="B488" s="43"/>
    </row>
    <row r="489">
      <c r="B489" s="43"/>
    </row>
    <row r="490">
      <c r="B490" s="43"/>
    </row>
    <row r="491">
      <c r="B491" s="43"/>
    </row>
    <row r="492">
      <c r="B492" s="43"/>
    </row>
    <row r="493">
      <c r="B493" s="43"/>
    </row>
    <row r="494">
      <c r="B494" s="43"/>
    </row>
    <row r="495">
      <c r="B495" s="43"/>
    </row>
    <row r="496">
      <c r="B496" s="43"/>
    </row>
    <row r="497">
      <c r="B497" s="43"/>
    </row>
    <row r="498">
      <c r="B498" s="43"/>
    </row>
    <row r="499">
      <c r="B499" s="43"/>
    </row>
    <row r="500">
      <c r="B500" s="43"/>
    </row>
    <row r="501">
      <c r="B501" s="43"/>
    </row>
    <row r="502">
      <c r="B502" s="43"/>
    </row>
    <row r="503">
      <c r="B503" s="43"/>
    </row>
    <row r="504">
      <c r="B504" s="43"/>
    </row>
    <row r="505">
      <c r="B505" s="43"/>
    </row>
    <row r="506">
      <c r="B506" s="43"/>
    </row>
    <row r="507">
      <c r="B507" s="43"/>
    </row>
    <row r="508">
      <c r="B508" s="43"/>
    </row>
    <row r="509">
      <c r="B509" s="43"/>
    </row>
    <row r="510">
      <c r="B510" s="43"/>
    </row>
    <row r="511">
      <c r="B511" s="43"/>
    </row>
    <row r="512">
      <c r="B512" s="43"/>
    </row>
    <row r="513">
      <c r="B513" s="43"/>
    </row>
    <row r="514">
      <c r="B514" s="43"/>
    </row>
    <row r="515">
      <c r="B515" s="43"/>
    </row>
    <row r="516">
      <c r="B516" s="43"/>
    </row>
    <row r="517">
      <c r="B517" s="43"/>
    </row>
    <row r="518">
      <c r="B518" s="43"/>
    </row>
    <row r="519">
      <c r="B519" s="43"/>
    </row>
    <row r="520">
      <c r="B520" s="43"/>
    </row>
    <row r="521">
      <c r="B521" s="43"/>
    </row>
    <row r="522">
      <c r="B522" s="43"/>
    </row>
    <row r="523">
      <c r="B523" s="43"/>
    </row>
    <row r="524">
      <c r="B524" s="43"/>
    </row>
    <row r="525">
      <c r="B525" s="43"/>
    </row>
    <row r="526">
      <c r="B526" s="43"/>
    </row>
    <row r="527">
      <c r="B527" s="43"/>
    </row>
    <row r="528">
      <c r="B528" s="43"/>
    </row>
    <row r="529">
      <c r="B529" s="43"/>
    </row>
    <row r="530">
      <c r="B530" s="43"/>
    </row>
    <row r="531">
      <c r="B531" s="43"/>
    </row>
    <row r="532">
      <c r="B532" s="43"/>
    </row>
    <row r="533">
      <c r="B533" s="43"/>
    </row>
    <row r="534">
      <c r="B534" s="43"/>
    </row>
    <row r="535">
      <c r="B535" s="43"/>
    </row>
    <row r="536">
      <c r="B536" s="43"/>
    </row>
    <row r="537">
      <c r="B537" s="43"/>
    </row>
    <row r="538">
      <c r="B538" s="43"/>
    </row>
    <row r="539">
      <c r="B539" s="43"/>
    </row>
    <row r="540">
      <c r="B540" s="43"/>
    </row>
    <row r="541">
      <c r="B541" s="43"/>
    </row>
    <row r="542">
      <c r="B542" s="43"/>
    </row>
    <row r="543">
      <c r="B543" s="43"/>
    </row>
    <row r="544">
      <c r="B544" s="43"/>
    </row>
    <row r="545">
      <c r="B545" s="43"/>
    </row>
    <row r="546">
      <c r="B546" s="43"/>
    </row>
    <row r="547">
      <c r="B547" s="43"/>
    </row>
    <row r="548">
      <c r="B548" s="43"/>
    </row>
    <row r="549">
      <c r="B549" s="43"/>
    </row>
    <row r="550">
      <c r="B550" s="43"/>
    </row>
    <row r="551">
      <c r="B551" s="43"/>
    </row>
    <row r="552">
      <c r="B552" s="43"/>
    </row>
    <row r="553">
      <c r="B553" s="43"/>
    </row>
    <row r="554">
      <c r="B554" s="43"/>
    </row>
    <row r="555">
      <c r="B555" s="43"/>
    </row>
    <row r="556">
      <c r="B556" s="43"/>
    </row>
    <row r="557">
      <c r="B557" s="43"/>
    </row>
    <row r="558">
      <c r="B558" s="43"/>
    </row>
    <row r="559">
      <c r="B559" s="43"/>
    </row>
    <row r="560">
      <c r="B560" s="43"/>
    </row>
    <row r="561">
      <c r="B561" s="43"/>
    </row>
    <row r="562">
      <c r="B562" s="43"/>
    </row>
    <row r="563">
      <c r="B563" s="43"/>
    </row>
    <row r="564">
      <c r="B564" s="43"/>
    </row>
    <row r="565">
      <c r="B565" s="43"/>
    </row>
    <row r="566">
      <c r="B566" s="43"/>
    </row>
    <row r="567">
      <c r="B567" s="43"/>
    </row>
    <row r="568">
      <c r="B568" s="43"/>
    </row>
    <row r="569">
      <c r="B569" s="43"/>
    </row>
    <row r="570">
      <c r="B570" s="43"/>
    </row>
    <row r="571">
      <c r="B571" s="43"/>
    </row>
    <row r="572">
      <c r="B572" s="43"/>
    </row>
    <row r="573">
      <c r="B573" s="43"/>
    </row>
    <row r="574">
      <c r="B574" s="43"/>
    </row>
    <row r="575">
      <c r="B575" s="43"/>
    </row>
    <row r="576">
      <c r="B576" s="43"/>
    </row>
    <row r="577">
      <c r="B577" s="43"/>
    </row>
    <row r="578">
      <c r="B578" s="43"/>
    </row>
    <row r="579">
      <c r="B579" s="43"/>
    </row>
    <row r="580">
      <c r="B580" s="43"/>
    </row>
    <row r="581">
      <c r="B581" s="43"/>
    </row>
    <row r="582">
      <c r="B582" s="43"/>
    </row>
    <row r="583">
      <c r="B583" s="43"/>
    </row>
    <row r="584">
      <c r="B584" s="43"/>
    </row>
    <row r="585">
      <c r="B585" s="43"/>
    </row>
    <row r="586">
      <c r="B586" s="43"/>
    </row>
    <row r="587">
      <c r="B587" s="43"/>
    </row>
    <row r="588">
      <c r="B588" s="43"/>
    </row>
    <row r="589">
      <c r="B589" s="43"/>
    </row>
    <row r="590">
      <c r="B590" s="43"/>
    </row>
    <row r="591">
      <c r="B591" s="43"/>
    </row>
    <row r="592">
      <c r="B592" s="43"/>
    </row>
    <row r="593">
      <c r="B593" s="43"/>
    </row>
    <row r="594">
      <c r="B594" s="43"/>
    </row>
    <row r="595">
      <c r="B595" s="43"/>
    </row>
    <row r="596">
      <c r="B596" s="43"/>
    </row>
    <row r="597">
      <c r="B597" s="43"/>
    </row>
    <row r="598">
      <c r="B598" s="43"/>
    </row>
    <row r="599">
      <c r="B599" s="43"/>
    </row>
    <row r="600">
      <c r="B600" s="43"/>
    </row>
    <row r="601">
      <c r="B601" s="43"/>
    </row>
    <row r="602">
      <c r="B602" s="43"/>
    </row>
    <row r="603">
      <c r="B603" s="43"/>
    </row>
    <row r="604">
      <c r="B604" s="43"/>
    </row>
    <row r="605">
      <c r="B605" s="43"/>
    </row>
    <row r="606">
      <c r="B606" s="43"/>
    </row>
    <row r="607">
      <c r="B607" s="43"/>
    </row>
    <row r="608">
      <c r="B608" s="43"/>
    </row>
    <row r="609">
      <c r="B609" s="43"/>
    </row>
    <row r="610">
      <c r="B610" s="43"/>
    </row>
    <row r="611">
      <c r="B611" s="43"/>
    </row>
    <row r="612">
      <c r="B612" s="43"/>
    </row>
    <row r="613">
      <c r="B613" s="43"/>
    </row>
    <row r="614">
      <c r="B614" s="43"/>
    </row>
    <row r="615">
      <c r="B615" s="43"/>
    </row>
    <row r="616">
      <c r="B616" s="43"/>
    </row>
    <row r="617">
      <c r="B617" s="43"/>
    </row>
    <row r="618">
      <c r="B618" s="43"/>
    </row>
    <row r="619">
      <c r="B619" s="43"/>
    </row>
    <row r="620">
      <c r="B620" s="43"/>
    </row>
    <row r="621">
      <c r="B621" s="43"/>
    </row>
    <row r="622">
      <c r="B622" s="43"/>
    </row>
    <row r="623">
      <c r="B623" s="43"/>
    </row>
    <row r="624">
      <c r="B624" s="43"/>
    </row>
    <row r="625">
      <c r="B625" s="43"/>
    </row>
    <row r="626">
      <c r="B626" s="43"/>
    </row>
    <row r="627">
      <c r="B627" s="43"/>
    </row>
    <row r="628">
      <c r="B628" s="43"/>
    </row>
    <row r="629">
      <c r="B629" s="43"/>
    </row>
    <row r="630">
      <c r="B630" s="43"/>
    </row>
    <row r="631">
      <c r="B631" s="43"/>
    </row>
    <row r="632">
      <c r="B632" s="43"/>
    </row>
    <row r="633">
      <c r="B633" s="43"/>
    </row>
    <row r="634">
      <c r="B634" s="43"/>
    </row>
    <row r="635">
      <c r="B635" s="43"/>
    </row>
    <row r="636">
      <c r="B636" s="43"/>
    </row>
    <row r="637">
      <c r="B637" s="43"/>
    </row>
    <row r="638">
      <c r="B638" s="43"/>
    </row>
    <row r="639">
      <c r="B639" s="43"/>
    </row>
    <row r="640">
      <c r="B640" s="43"/>
    </row>
    <row r="641">
      <c r="B641" s="43"/>
    </row>
    <row r="642">
      <c r="B642" s="43"/>
    </row>
    <row r="643">
      <c r="B643" s="43"/>
    </row>
    <row r="644">
      <c r="B644" s="43"/>
    </row>
    <row r="645">
      <c r="B645" s="43"/>
    </row>
    <row r="646">
      <c r="B646" s="43"/>
    </row>
    <row r="647">
      <c r="B647" s="43"/>
    </row>
    <row r="648">
      <c r="B648" s="43"/>
    </row>
    <row r="649">
      <c r="B649" s="43"/>
    </row>
    <row r="650">
      <c r="B650" s="43"/>
    </row>
    <row r="651">
      <c r="B651" s="43"/>
    </row>
    <row r="652">
      <c r="B652" s="43"/>
    </row>
    <row r="653">
      <c r="B653" s="43"/>
    </row>
    <row r="654">
      <c r="B654" s="43"/>
    </row>
    <row r="655">
      <c r="B655" s="43"/>
    </row>
    <row r="656">
      <c r="B656" s="43"/>
    </row>
    <row r="657">
      <c r="B657" s="43"/>
    </row>
    <row r="658">
      <c r="B658" s="43"/>
    </row>
    <row r="659">
      <c r="B659" s="43"/>
    </row>
    <row r="660">
      <c r="B660" s="43"/>
    </row>
    <row r="661">
      <c r="B661" s="43"/>
    </row>
    <row r="662">
      <c r="B662" s="43"/>
    </row>
    <row r="663">
      <c r="B663" s="43"/>
    </row>
    <row r="664">
      <c r="B664" s="43"/>
    </row>
    <row r="665">
      <c r="B665" s="43"/>
    </row>
    <row r="666">
      <c r="B666" s="43"/>
    </row>
    <row r="667">
      <c r="B667" s="43"/>
    </row>
    <row r="668">
      <c r="B668" s="43"/>
    </row>
    <row r="669">
      <c r="B669" s="43"/>
    </row>
    <row r="670">
      <c r="B670" s="43"/>
    </row>
    <row r="671">
      <c r="B671" s="43"/>
    </row>
    <row r="672">
      <c r="B672" s="43"/>
    </row>
    <row r="673">
      <c r="B673" s="43"/>
    </row>
    <row r="674">
      <c r="B674" s="43"/>
    </row>
    <row r="675">
      <c r="B675" s="43"/>
    </row>
    <row r="676">
      <c r="B676" s="43"/>
    </row>
    <row r="677">
      <c r="B677" s="43"/>
    </row>
    <row r="678">
      <c r="B678" s="43"/>
    </row>
    <row r="679">
      <c r="B679" s="43"/>
    </row>
    <row r="680">
      <c r="B680" s="43"/>
    </row>
    <row r="681">
      <c r="B681" s="43"/>
    </row>
    <row r="682">
      <c r="B682" s="43"/>
    </row>
    <row r="683">
      <c r="B683" s="43"/>
    </row>
    <row r="684">
      <c r="B684" s="43"/>
    </row>
    <row r="685">
      <c r="B685" s="43"/>
    </row>
    <row r="686">
      <c r="B686" s="43"/>
    </row>
    <row r="687">
      <c r="B687" s="43"/>
    </row>
    <row r="688">
      <c r="B688" s="43"/>
    </row>
    <row r="689">
      <c r="B689" s="43"/>
    </row>
    <row r="690">
      <c r="B690" s="43"/>
    </row>
    <row r="691">
      <c r="B691" s="43"/>
    </row>
    <row r="692">
      <c r="B692" s="43"/>
    </row>
    <row r="693">
      <c r="B693" s="43"/>
    </row>
    <row r="694">
      <c r="B694" s="43"/>
    </row>
    <row r="695">
      <c r="B695" s="43"/>
    </row>
    <row r="696">
      <c r="B696" s="43"/>
    </row>
    <row r="697">
      <c r="B697" s="43"/>
    </row>
    <row r="698">
      <c r="B698" s="43"/>
    </row>
    <row r="699">
      <c r="B699" s="43"/>
    </row>
    <row r="700">
      <c r="B700" s="43"/>
    </row>
    <row r="701">
      <c r="B701" s="43"/>
    </row>
    <row r="702">
      <c r="B702" s="43"/>
    </row>
    <row r="703">
      <c r="B703" s="43"/>
    </row>
    <row r="704">
      <c r="B704" s="43"/>
    </row>
    <row r="705">
      <c r="B705" s="43"/>
    </row>
    <row r="706">
      <c r="B706" s="43"/>
    </row>
    <row r="707">
      <c r="B707" s="43"/>
    </row>
    <row r="708">
      <c r="B708" s="43"/>
    </row>
    <row r="709">
      <c r="B709" s="43"/>
    </row>
    <row r="710">
      <c r="B710" s="43"/>
    </row>
    <row r="711">
      <c r="B711" s="43"/>
    </row>
    <row r="712">
      <c r="B712" s="43"/>
    </row>
    <row r="713">
      <c r="B713" s="43"/>
    </row>
    <row r="714">
      <c r="B714" s="43"/>
    </row>
    <row r="715">
      <c r="B715" s="43"/>
    </row>
    <row r="716">
      <c r="B716" s="43"/>
    </row>
    <row r="717">
      <c r="B717" s="43"/>
    </row>
    <row r="718">
      <c r="B718" s="43"/>
    </row>
    <row r="719">
      <c r="B719" s="43"/>
    </row>
    <row r="720">
      <c r="B720" s="43"/>
    </row>
    <row r="721">
      <c r="B721" s="43"/>
    </row>
    <row r="722">
      <c r="B722" s="43"/>
    </row>
    <row r="723">
      <c r="B723" s="43"/>
    </row>
    <row r="724">
      <c r="B724" s="43"/>
    </row>
    <row r="725">
      <c r="B725" s="43"/>
    </row>
    <row r="726">
      <c r="B726" s="43"/>
    </row>
    <row r="727">
      <c r="B727" s="43"/>
    </row>
    <row r="728">
      <c r="B728" s="43"/>
    </row>
    <row r="729">
      <c r="B729" s="43"/>
    </row>
    <row r="730">
      <c r="B730" s="43"/>
    </row>
    <row r="731">
      <c r="B731" s="43"/>
    </row>
    <row r="732">
      <c r="B732" s="43"/>
    </row>
    <row r="733">
      <c r="B733" s="43"/>
    </row>
    <row r="734">
      <c r="B734" s="43"/>
    </row>
    <row r="735">
      <c r="B735" s="43"/>
    </row>
    <row r="736">
      <c r="B736" s="43"/>
    </row>
    <row r="737">
      <c r="B737" s="43"/>
    </row>
    <row r="738">
      <c r="B738" s="43"/>
    </row>
    <row r="739">
      <c r="B739" s="43"/>
    </row>
    <row r="740">
      <c r="B740" s="43"/>
    </row>
    <row r="741">
      <c r="B741" s="43"/>
    </row>
    <row r="742">
      <c r="B742" s="43"/>
    </row>
    <row r="743">
      <c r="B743" s="43"/>
    </row>
    <row r="744">
      <c r="B744" s="43"/>
    </row>
    <row r="745">
      <c r="B745" s="43"/>
    </row>
    <row r="746">
      <c r="B746" s="43"/>
    </row>
    <row r="747">
      <c r="B747" s="43"/>
    </row>
    <row r="748">
      <c r="B748" s="43"/>
    </row>
    <row r="749">
      <c r="B749" s="43"/>
    </row>
    <row r="750">
      <c r="B750" s="43"/>
    </row>
    <row r="751">
      <c r="B751" s="43"/>
    </row>
    <row r="752">
      <c r="B752" s="43"/>
    </row>
    <row r="753">
      <c r="B753" s="43"/>
    </row>
    <row r="754">
      <c r="B754" s="43"/>
    </row>
    <row r="755">
      <c r="B755" s="43"/>
    </row>
    <row r="756">
      <c r="B756" s="43"/>
    </row>
    <row r="757">
      <c r="B757" s="43"/>
    </row>
    <row r="758">
      <c r="B758" s="43"/>
    </row>
    <row r="759">
      <c r="B759" s="43"/>
    </row>
    <row r="760">
      <c r="B760" s="43"/>
    </row>
    <row r="761">
      <c r="B761" s="43"/>
    </row>
    <row r="762">
      <c r="B762" s="43"/>
    </row>
    <row r="763">
      <c r="B763" s="43"/>
    </row>
    <row r="764">
      <c r="B764" s="43"/>
    </row>
    <row r="765">
      <c r="B765" s="43"/>
    </row>
    <row r="766">
      <c r="B766" s="43"/>
    </row>
    <row r="767">
      <c r="B767" s="43"/>
    </row>
    <row r="768">
      <c r="B768" s="43"/>
    </row>
    <row r="769">
      <c r="B769" s="43"/>
    </row>
    <row r="770">
      <c r="B770" s="43"/>
    </row>
    <row r="771">
      <c r="B771" s="43"/>
    </row>
    <row r="772">
      <c r="B772" s="43"/>
    </row>
    <row r="773">
      <c r="B773" s="43"/>
    </row>
    <row r="774">
      <c r="B774" s="43"/>
    </row>
    <row r="775">
      <c r="B775" s="43"/>
    </row>
    <row r="776">
      <c r="B776" s="43"/>
    </row>
    <row r="777">
      <c r="B777" s="43"/>
    </row>
    <row r="778">
      <c r="B778" s="43"/>
    </row>
    <row r="779">
      <c r="B779" s="43"/>
    </row>
    <row r="780">
      <c r="B780" s="43"/>
    </row>
    <row r="781">
      <c r="B781" s="43"/>
    </row>
    <row r="782">
      <c r="B782" s="43"/>
    </row>
    <row r="783">
      <c r="B783" s="43"/>
    </row>
    <row r="784">
      <c r="B784" s="43"/>
    </row>
    <row r="785">
      <c r="B785" s="43"/>
    </row>
    <row r="786">
      <c r="B786" s="43"/>
    </row>
    <row r="787">
      <c r="B787" s="43"/>
    </row>
    <row r="788">
      <c r="B788" s="43"/>
    </row>
    <row r="789">
      <c r="B789" s="43"/>
    </row>
    <row r="790">
      <c r="B790" s="43"/>
    </row>
    <row r="791">
      <c r="B791" s="43"/>
    </row>
    <row r="792">
      <c r="B792" s="43"/>
    </row>
    <row r="793">
      <c r="B793" s="43"/>
    </row>
    <row r="794">
      <c r="B794" s="43"/>
    </row>
    <row r="795">
      <c r="B795" s="43"/>
    </row>
    <row r="796">
      <c r="B796" s="43"/>
    </row>
    <row r="797">
      <c r="B797" s="43"/>
    </row>
    <row r="798">
      <c r="B798" s="43"/>
    </row>
    <row r="799">
      <c r="B799" s="43"/>
    </row>
    <row r="800">
      <c r="B800" s="43"/>
    </row>
    <row r="801">
      <c r="B801" s="43"/>
    </row>
    <row r="802">
      <c r="B802" s="43"/>
    </row>
    <row r="803">
      <c r="B803" s="43"/>
    </row>
    <row r="804">
      <c r="B804" s="43"/>
    </row>
    <row r="805">
      <c r="B805" s="43"/>
    </row>
    <row r="806">
      <c r="B806" s="43"/>
    </row>
    <row r="807">
      <c r="B807" s="43"/>
    </row>
    <row r="808">
      <c r="B808" s="43"/>
    </row>
    <row r="809">
      <c r="B809" s="43"/>
    </row>
    <row r="810">
      <c r="B810" s="43"/>
    </row>
    <row r="811">
      <c r="B811" s="43"/>
    </row>
    <row r="812">
      <c r="B812" s="43"/>
    </row>
    <row r="813">
      <c r="B813" s="43"/>
    </row>
    <row r="814">
      <c r="B814" s="43"/>
    </row>
    <row r="815">
      <c r="B815" s="43"/>
    </row>
    <row r="816">
      <c r="B816" s="43"/>
    </row>
    <row r="817">
      <c r="B817" s="43"/>
    </row>
    <row r="818">
      <c r="B818" s="43"/>
    </row>
    <row r="819">
      <c r="B819" s="43"/>
    </row>
    <row r="820">
      <c r="B820" s="43"/>
    </row>
    <row r="821">
      <c r="B821" s="43"/>
    </row>
    <row r="822">
      <c r="B822" s="43"/>
    </row>
    <row r="823">
      <c r="B823" s="43"/>
    </row>
    <row r="824">
      <c r="B824" s="43"/>
    </row>
    <row r="825">
      <c r="B825" s="43"/>
    </row>
    <row r="826">
      <c r="B826" s="43"/>
    </row>
    <row r="827">
      <c r="B827" s="43"/>
    </row>
    <row r="828">
      <c r="B828" s="43"/>
    </row>
    <row r="829">
      <c r="B829" s="43"/>
    </row>
    <row r="830">
      <c r="B830" s="43"/>
    </row>
    <row r="831">
      <c r="B831" s="43"/>
    </row>
    <row r="832">
      <c r="B832" s="43"/>
    </row>
    <row r="833">
      <c r="B833" s="43"/>
    </row>
    <row r="834">
      <c r="B834" s="43"/>
    </row>
    <row r="835">
      <c r="B835" s="43"/>
    </row>
    <row r="836">
      <c r="B836" s="43"/>
    </row>
    <row r="837">
      <c r="B837" s="43"/>
    </row>
    <row r="838">
      <c r="B838" s="43"/>
    </row>
    <row r="839">
      <c r="B839" s="43"/>
    </row>
    <row r="840">
      <c r="B840" s="43"/>
    </row>
    <row r="841">
      <c r="B841" s="43"/>
    </row>
    <row r="842">
      <c r="B842" s="43"/>
    </row>
    <row r="843">
      <c r="B843" s="43"/>
    </row>
    <row r="844">
      <c r="B844" s="43"/>
    </row>
    <row r="845">
      <c r="B845" s="43"/>
    </row>
    <row r="846">
      <c r="B846" s="43"/>
    </row>
    <row r="847">
      <c r="B847" s="43"/>
    </row>
    <row r="848">
      <c r="B848" s="43"/>
    </row>
    <row r="849">
      <c r="B849" s="43"/>
    </row>
    <row r="850">
      <c r="B850" s="43"/>
    </row>
    <row r="851">
      <c r="B851" s="43"/>
    </row>
    <row r="852">
      <c r="B852" s="43"/>
    </row>
    <row r="853">
      <c r="B853" s="43"/>
    </row>
    <row r="854">
      <c r="B854" s="43"/>
    </row>
    <row r="855">
      <c r="B855" s="43"/>
    </row>
    <row r="856">
      <c r="B856" s="43"/>
    </row>
    <row r="857">
      <c r="B857" s="43"/>
    </row>
    <row r="858">
      <c r="B858" s="43"/>
    </row>
    <row r="859">
      <c r="B859" s="43"/>
    </row>
    <row r="860">
      <c r="B860" s="43"/>
    </row>
    <row r="861">
      <c r="B861" s="43"/>
    </row>
    <row r="862">
      <c r="B862" s="43"/>
    </row>
    <row r="863">
      <c r="B863" s="43"/>
    </row>
    <row r="864">
      <c r="B864" s="43"/>
    </row>
    <row r="865">
      <c r="B865" s="43"/>
    </row>
    <row r="866">
      <c r="B866" s="43"/>
    </row>
    <row r="867">
      <c r="B867" s="43"/>
    </row>
    <row r="868">
      <c r="B868" s="43"/>
    </row>
    <row r="869">
      <c r="B869" s="43"/>
    </row>
    <row r="870">
      <c r="B870" s="43"/>
    </row>
    <row r="871">
      <c r="B871" s="43"/>
    </row>
    <row r="872">
      <c r="B872" s="43"/>
    </row>
    <row r="873">
      <c r="B873" s="43"/>
    </row>
    <row r="874">
      <c r="B874" s="43"/>
    </row>
    <row r="875">
      <c r="B875" s="43"/>
    </row>
    <row r="876">
      <c r="B876" s="43"/>
    </row>
    <row r="877">
      <c r="B877" s="43"/>
    </row>
    <row r="878">
      <c r="B878" s="43"/>
    </row>
    <row r="879">
      <c r="B879" s="43"/>
    </row>
    <row r="880">
      <c r="B880" s="43"/>
    </row>
    <row r="881">
      <c r="B881" s="43"/>
    </row>
    <row r="882">
      <c r="B882" s="43"/>
    </row>
    <row r="883">
      <c r="B883" s="43"/>
    </row>
    <row r="884">
      <c r="B884" s="43"/>
    </row>
    <row r="885">
      <c r="B885" s="43"/>
    </row>
    <row r="886">
      <c r="B886" s="43"/>
    </row>
    <row r="887">
      <c r="B887" s="43"/>
    </row>
    <row r="888">
      <c r="B888" s="43"/>
    </row>
    <row r="889">
      <c r="B889" s="43"/>
    </row>
    <row r="890">
      <c r="B890" s="43"/>
    </row>
    <row r="891">
      <c r="B891" s="43"/>
    </row>
    <row r="892">
      <c r="B892" s="43"/>
    </row>
    <row r="893">
      <c r="B893" s="43"/>
    </row>
    <row r="894">
      <c r="B894" s="43"/>
    </row>
    <row r="895">
      <c r="B895" s="43"/>
    </row>
    <row r="896">
      <c r="B896" s="43"/>
    </row>
    <row r="897">
      <c r="B897" s="43"/>
    </row>
    <row r="898">
      <c r="B898" s="43"/>
    </row>
    <row r="899">
      <c r="B899" s="43"/>
    </row>
    <row r="900">
      <c r="B900" s="43"/>
    </row>
    <row r="901">
      <c r="B901" s="43"/>
    </row>
    <row r="902">
      <c r="B902" s="43"/>
    </row>
    <row r="903">
      <c r="B903" s="43"/>
    </row>
    <row r="904">
      <c r="B904" s="43"/>
    </row>
    <row r="905">
      <c r="B905" s="43"/>
    </row>
    <row r="906">
      <c r="B906" s="43"/>
    </row>
    <row r="907">
      <c r="B907" s="43"/>
    </row>
    <row r="908">
      <c r="B908" s="43"/>
    </row>
    <row r="909">
      <c r="B909" s="43"/>
    </row>
    <row r="910">
      <c r="B910" s="43"/>
    </row>
    <row r="911">
      <c r="B911" s="43"/>
    </row>
    <row r="912">
      <c r="B912" s="43"/>
    </row>
    <row r="913">
      <c r="B913" s="43"/>
    </row>
    <row r="914">
      <c r="B914" s="43"/>
    </row>
    <row r="915">
      <c r="B915" s="43"/>
    </row>
    <row r="916">
      <c r="B916" s="43"/>
    </row>
    <row r="917">
      <c r="B917" s="43"/>
    </row>
    <row r="918">
      <c r="B918" s="43"/>
    </row>
    <row r="919">
      <c r="B919" s="43"/>
    </row>
    <row r="920">
      <c r="B920" s="43"/>
    </row>
    <row r="921">
      <c r="B921" s="43"/>
    </row>
    <row r="922">
      <c r="B922" s="43"/>
    </row>
    <row r="923">
      <c r="B923" s="43"/>
    </row>
    <row r="924">
      <c r="B924" s="43"/>
    </row>
    <row r="925">
      <c r="B925" s="43"/>
    </row>
    <row r="926">
      <c r="B926" s="43"/>
    </row>
    <row r="927">
      <c r="B927" s="43"/>
    </row>
    <row r="928">
      <c r="B928" s="43"/>
    </row>
    <row r="929">
      <c r="B929" s="43"/>
    </row>
    <row r="930">
      <c r="B930" s="43"/>
    </row>
    <row r="931">
      <c r="B931" s="43"/>
    </row>
    <row r="932">
      <c r="B932" s="43"/>
    </row>
    <row r="933">
      <c r="B933" s="43"/>
    </row>
    <row r="934">
      <c r="B934" s="43"/>
    </row>
    <row r="935">
      <c r="B935" s="43"/>
    </row>
    <row r="936">
      <c r="B936" s="43"/>
    </row>
    <row r="937">
      <c r="B937" s="43"/>
    </row>
    <row r="938">
      <c r="B938" s="43"/>
    </row>
    <row r="939">
      <c r="B939" s="43"/>
    </row>
    <row r="940">
      <c r="B940" s="43"/>
    </row>
    <row r="941">
      <c r="B941" s="43"/>
    </row>
    <row r="942">
      <c r="B942" s="43"/>
    </row>
    <row r="943">
      <c r="B943" s="43"/>
    </row>
    <row r="944">
      <c r="B944" s="43"/>
    </row>
    <row r="945">
      <c r="B945" s="43"/>
    </row>
    <row r="946">
      <c r="B946" s="43"/>
    </row>
    <row r="947">
      <c r="B947" s="43"/>
    </row>
    <row r="948">
      <c r="B948" s="43"/>
    </row>
    <row r="949">
      <c r="B949" s="43"/>
    </row>
    <row r="950">
      <c r="B950" s="43"/>
    </row>
    <row r="951">
      <c r="B951" s="43"/>
    </row>
    <row r="952">
      <c r="B952" s="43"/>
    </row>
    <row r="953">
      <c r="B953" s="43"/>
    </row>
    <row r="954">
      <c r="B954" s="43"/>
    </row>
    <row r="955">
      <c r="B955" s="43"/>
    </row>
    <row r="956">
      <c r="B956" s="43"/>
    </row>
    <row r="957">
      <c r="B957" s="43"/>
    </row>
    <row r="958">
      <c r="B958" s="43"/>
    </row>
    <row r="959">
      <c r="B959" s="43"/>
    </row>
    <row r="960">
      <c r="B960" s="43"/>
    </row>
    <row r="961">
      <c r="B961" s="43"/>
    </row>
    <row r="962">
      <c r="B962" s="43"/>
    </row>
    <row r="963">
      <c r="B963" s="43"/>
    </row>
    <row r="964">
      <c r="B964" s="43"/>
    </row>
    <row r="965">
      <c r="B965" s="43"/>
    </row>
    <row r="966">
      <c r="B966" s="43"/>
    </row>
    <row r="967">
      <c r="B967" s="43"/>
    </row>
    <row r="968">
      <c r="B968" s="43"/>
    </row>
    <row r="969">
      <c r="B969" s="43"/>
    </row>
    <row r="970">
      <c r="B970" s="43"/>
    </row>
    <row r="971">
      <c r="B971" s="43"/>
    </row>
    <row r="972">
      <c r="B972" s="43"/>
    </row>
    <row r="973">
      <c r="B973" s="43"/>
    </row>
    <row r="974">
      <c r="B974" s="43"/>
    </row>
    <row r="975">
      <c r="B975" s="43"/>
    </row>
    <row r="976">
      <c r="B976" s="43"/>
    </row>
    <row r="977">
      <c r="B977" s="43"/>
    </row>
    <row r="978">
      <c r="B978" s="43"/>
    </row>
    <row r="979">
      <c r="B979" s="43"/>
    </row>
    <row r="980">
      <c r="B980" s="43"/>
    </row>
    <row r="981">
      <c r="B981" s="43"/>
    </row>
    <row r="982">
      <c r="B982" s="43"/>
    </row>
    <row r="983">
      <c r="B983" s="43"/>
    </row>
    <row r="984">
      <c r="B984" s="43"/>
    </row>
    <row r="985">
      <c r="B985" s="43"/>
    </row>
    <row r="986">
      <c r="B986" s="43"/>
    </row>
    <row r="987">
      <c r="B987" s="43"/>
    </row>
    <row r="988">
      <c r="B988" s="43"/>
    </row>
    <row r="989">
      <c r="B989" s="43"/>
    </row>
    <row r="990">
      <c r="B990" s="43"/>
    </row>
    <row r="991">
      <c r="B991" s="43"/>
    </row>
    <row r="992">
      <c r="B992" s="43"/>
    </row>
    <row r="993">
      <c r="B993" s="43"/>
    </row>
    <row r="994">
      <c r="B994" s="43"/>
    </row>
    <row r="995">
      <c r="B995" s="43"/>
    </row>
    <row r="996">
      <c r="B996" s="43"/>
    </row>
    <row r="997">
      <c r="B997" s="43"/>
    </row>
    <row r="998">
      <c r="B998" s="43"/>
    </row>
    <row r="999">
      <c r="B999" s="43"/>
    </row>
    <row r="1000">
      <c r="B1000" s="43"/>
    </row>
  </sheetData>
  <drawing r:id="rId1"/>
</worksheet>
</file>